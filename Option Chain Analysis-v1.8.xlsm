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trlProps/ctrlProp1.xml" ContentType="application/vnd.ms-excel.controlproperti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trlProps/ctrlProp2.xml" ContentType="application/vnd.ms-excel.controlproperti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comments1.xml" ContentType="application/vnd.openxmlformats-officedocument.spreadsheetml.comment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omments2.xml" ContentType="application/vnd.openxmlformats-officedocument.spreadsheetml.comments+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xmlns:mc="http://schemas.openxmlformats.org/markup-compatibility/2006">
    <mc:Choice Requires="x15">
      <x15ac:absPath xmlns:x15ac="http://schemas.microsoft.com/office/spreadsheetml/2010/11/ac" url="D:\"/>
    </mc:Choice>
  </mc:AlternateContent>
  <xr:revisionPtr revIDLastSave="0" documentId="8_{68AF8E84-211B-4D7D-BDD4-3AF76BEA1861}" xr6:coauthVersionLast="47" xr6:coauthVersionMax="47" xr10:uidLastSave="{00000000-0000-0000-0000-000000000000}"/>
  <bookViews>
    <workbookView xWindow="-120" yWindow="-120" windowWidth="29040" windowHeight="15720" tabRatio="806" activeTab="2" xr2:uid="{00000000-000D-0000-FFFF-FFFF00000000}"/>
  </bookViews>
  <sheets>
    <sheet name="Controls" sheetId="10" r:id="rId1"/>
    <sheet name="Dashboard" sheetId="11" r:id="rId2"/>
    <sheet name="NIFTY OI Analysis" sheetId="1" r:id="rId3"/>
    <sheet name="BANK NIFTY OI Analysis" sheetId="7" r:id="rId4"/>
    <sheet name="NIFTY OI Trend" sheetId="6" r:id="rId5"/>
    <sheet name="BNF OI Trend" sheetId="9" r:id="rId6"/>
    <sheet name="DB2" sheetId="8" r:id="rId7"/>
    <sheet name="DB" sheetId="2" r:id="rId8"/>
    <sheet name="Interpretation" sheetId="3" state="hidden" r:id="rId9"/>
    <sheet name="cookies" sheetId="4" r:id="rId10"/>
    <sheet name="Symbol List" sheetId="5" state="hidden" r:id="rId11"/>
  </sheets>
  <definedNames>
    <definedName name="ExternalData_1" localSheetId="7" hidden="1">DB!$B$5:$Q$113</definedName>
    <definedName name="ExternalData_1" localSheetId="6" hidden="1">'DB2'!$B$5:$Q$118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214" i="6" l="1"/>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195" i="9"/>
  <c r="L196" i="9"/>
  <c r="L197" i="9"/>
  <c r="L198" i="9"/>
  <c r="L199" i="9"/>
  <c r="L200" i="9"/>
  <c r="L201" i="9"/>
  <c r="L202" i="9"/>
  <c r="L203" i="9"/>
  <c r="L204" i="9"/>
  <c r="L205" i="9"/>
  <c r="L206" i="9"/>
  <c r="L207" i="9"/>
  <c r="L208" i="9"/>
  <c r="L209" i="9"/>
  <c r="L210" i="9"/>
  <c r="L211" i="9"/>
  <c r="L212" i="9"/>
  <c r="L213" i="9"/>
  <c r="L214" i="9"/>
  <c r="L215" i="9"/>
  <c r="L216" i="9"/>
  <c r="L217" i="9"/>
  <c r="L218" i="9"/>
  <c r="L219" i="9"/>
  <c r="L220" i="9"/>
  <c r="L221" i="9"/>
  <c r="L222" i="9"/>
  <c r="L223" i="9"/>
  <c r="L224" i="9"/>
  <c r="L225" i="9"/>
  <c r="L226" i="9"/>
  <c r="L227" i="9"/>
  <c r="L228" i="9"/>
  <c r="L229" i="9"/>
  <c r="L230" i="9"/>
  <c r="L231" i="9"/>
  <c r="L232" i="9"/>
  <c r="L233" i="9"/>
  <c r="L234" i="9"/>
  <c r="L235" i="9"/>
  <c r="L236" i="9"/>
  <c r="L237" i="9"/>
  <c r="L238" i="9"/>
  <c r="L239" i="9"/>
  <c r="L240" i="9"/>
  <c r="L241" i="9"/>
  <c r="L242" i="9"/>
  <c r="L243" i="9"/>
  <c r="L244" i="9"/>
  <c r="L245" i="9"/>
  <c r="L246" i="9"/>
  <c r="L247" i="9"/>
  <c r="L248" i="9"/>
  <c r="L249" i="9"/>
  <c r="L250" i="9"/>
  <c r="L251" i="9"/>
  <c r="L252" i="9"/>
  <c r="L253" i="9"/>
  <c r="L254" i="9"/>
  <c r="L255" i="9"/>
  <c r="L256" i="9"/>
  <c r="L257" i="9"/>
  <c r="L258" i="9"/>
  <c r="L259" i="9"/>
  <c r="L260" i="9"/>
  <c r="L261" i="9"/>
  <c r="L262" i="9"/>
  <c r="L263" i="9"/>
  <c r="L264" i="9"/>
  <c r="L265" i="9"/>
  <c r="L266" i="9"/>
  <c r="L267" i="9"/>
  <c r="L268" i="9"/>
  <c r="L269" i="9"/>
  <c r="L270" i="9"/>
  <c r="L271" i="9"/>
  <c r="L272" i="9"/>
  <c r="L273" i="9"/>
  <c r="L274" i="9"/>
  <c r="L275" i="9"/>
  <c r="L276" i="9"/>
  <c r="L277" i="9"/>
  <c r="L278" i="9"/>
  <c r="L279" i="9"/>
  <c r="L280" i="9"/>
  <c r="L281" i="9"/>
  <c r="L282" i="9"/>
  <c r="L283" i="9"/>
  <c r="L284" i="9"/>
  <c r="L285" i="9"/>
  <c r="L286" i="9"/>
  <c r="L287" i="9"/>
  <c r="L288" i="9"/>
  <c r="L289" i="9"/>
  <c r="L290" i="9"/>
  <c r="L291" i="9"/>
  <c r="L292" i="9"/>
  <c r="L293" i="9"/>
  <c r="L294" i="9"/>
  <c r="L295" i="9"/>
  <c r="L296" i="9"/>
  <c r="L297" i="9"/>
  <c r="L298" i="9"/>
  <c r="L299" i="9"/>
  <c r="L300" i="9"/>
  <c r="L205" i="6"/>
  <c r="L206" i="6"/>
  <c r="L207" i="6"/>
  <c r="L208" i="6"/>
  <c r="L209" i="6"/>
  <c r="L210" i="6"/>
  <c r="L211" i="6"/>
  <c r="L212" i="6"/>
  <c r="L213"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92" i="9"/>
  <c r="L93" i="9"/>
  <c r="L94" i="9"/>
  <c r="L95" i="9"/>
  <c r="L96" i="9"/>
  <c r="L97" i="9"/>
  <c r="L98" i="9"/>
  <c r="L99" i="9"/>
  <c r="L100" i="9"/>
  <c r="L101" i="9"/>
  <c r="L102" i="9"/>
  <c r="L103" i="9"/>
  <c r="L104" i="9"/>
  <c r="L105" i="9"/>
  <c r="L106" i="9"/>
  <c r="L107" i="9"/>
  <c r="L108" i="9"/>
  <c r="L109" i="9"/>
  <c r="L110" i="9"/>
  <c r="L111" i="9"/>
  <c r="L112" i="9"/>
  <c r="L113" i="9"/>
  <c r="L114" i="9"/>
  <c r="L115" i="9"/>
  <c r="L116" i="9"/>
  <c r="L117" i="9"/>
  <c r="L118" i="9"/>
  <c r="L119" i="9"/>
  <c r="L120" i="9"/>
  <c r="L121" i="9"/>
  <c r="L122" i="9"/>
  <c r="L123" i="9"/>
  <c r="L124" i="9"/>
  <c r="L125" i="9"/>
  <c r="L126" i="9"/>
  <c r="L127" i="9"/>
  <c r="L128" i="9"/>
  <c r="L129" i="9"/>
  <c r="L130" i="9"/>
  <c r="L131" i="9"/>
  <c r="L132" i="9"/>
  <c r="L133" i="9"/>
  <c r="L134" i="9"/>
  <c r="L135" i="9"/>
  <c r="L136" i="9"/>
  <c r="L137" i="9"/>
  <c r="L138" i="9"/>
  <c r="L139" i="9"/>
  <c r="L140" i="9"/>
  <c r="L141" i="9"/>
  <c r="L142" i="9"/>
  <c r="L143" i="9"/>
  <c r="L144" i="9"/>
  <c r="L145" i="9"/>
  <c r="L146" i="9"/>
  <c r="L147" i="9"/>
  <c r="L148" i="9"/>
  <c r="L149" i="9"/>
  <c r="L150" i="9"/>
  <c r="L151" i="9"/>
  <c r="L152" i="9"/>
  <c r="L153" i="9"/>
  <c r="L154" i="9"/>
  <c r="L155" i="9"/>
  <c r="L156" i="9"/>
  <c r="L157" i="9"/>
  <c r="L158" i="9"/>
  <c r="L159" i="9"/>
  <c r="L160" i="9"/>
  <c r="L91" i="9"/>
  <c r="L161" i="9"/>
  <c r="L162" i="9"/>
  <c r="L163" i="9"/>
  <c r="L164" i="9"/>
  <c r="L165" i="9"/>
  <c r="L166" i="9"/>
  <c r="L167" i="9"/>
  <c r="L168" i="9"/>
  <c r="L169" i="9"/>
  <c r="L170" i="9"/>
  <c r="L171" i="9"/>
  <c r="L172" i="9"/>
  <c r="L173" i="9"/>
  <c r="L174" i="9"/>
  <c r="L175" i="9"/>
  <c r="L176" i="9"/>
  <c r="L177" i="9"/>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85" i="9"/>
  <c r="L184" i="9"/>
  <c r="L183" i="9"/>
  <c r="L182" i="9"/>
  <c r="L181" i="9"/>
  <c r="L180" i="9"/>
  <c r="L179" i="9"/>
  <c r="L178" i="9"/>
  <c r="X8" i="7"/>
  <c r="W8" i="7" l="1"/>
  <c r="B2" i="2" l="1"/>
  <c r="L5" i="6" l="1"/>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149" i="6"/>
  <c r="L150" i="6"/>
  <c r="L4" i="6"/>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42" i="9"/>
  <c r="L43" i="9"/>
  <c r="L44" i="9"/>
  <c r="L45" i="9"/>
  <c r="L46" i="9"/>
  <c r="L47" i="9"/>
  <c r="L48" i="9"/>
  <c r="L49" i="9"/>
  <c r="L50" i="9"/>
  <c r="L51" i="9"/>
  <c r="L52" i="9"/>
  <c r="L53" i="9"/>
  <c r="L54" i="9"/>
  <c r="L55" i="9"/>
  <c r="L56" i="9"/>
  <c r="L57" i="9"/>
  <c r="L58" i="9"/>
  <c r="L59" i="9"/>
  <c r="L60" i="9"/>
  <c r="L61" i="9"/>
  <c r="L62" i="9"/>
  <c r="L63" i="9"/>
  <c r="L64" i="9"/>
  <c r="L65" i="9"/>
  <c r="L66" i="9"/>
  <c r="L67" i="9"/>
  <c r="L68" i="9"/>
  <c r="L69" i="9"/>
  <c r="L70" i="9"/>
  <c r="L71" i="9"/>
  <c r="L72" i="9"/>
  <c r="L73" i="9"/>
  <c r="L74" i="9"/>
  <c r="L75" i="9"/>
  <c r="L76" i="9"/>
  <c r="L77" i="9"/>
  <c r="L78" i="9"/>
  <c r="L79" i="9"/>
  <c r="L80" i="9"/>
  <c r="L81" i="9"/>
  <c r="L82" i="9"/>
  <c r="L83" i="9"/>
  <c r="L84" i="9"/>
  <c r="L85" i="9"/>
  <c r="L86" i="9"/>
  <c r="L87" i="9"/>
  <c r="L88" i="9"/>
  <c r="L89" i="9"/>
  <c r="L90" i="9"/>
  <c r="L186" i="9"/>
  <c r="L187" i="9"/>
  <c r="L188" i="9"/>
  <c r="L189" i="9"/>
  <c r="L190" i="9"/>
  <c r="L191" i="9"/>
  <c r="L192" i="9"/>
  <c r="L193" i="9"/>
  <c r="L194" i="9"/>
  <c r="L4" i="9"/>
  <c r="C3" i="10"/>
  <c r="E2" i="8"/>
  <c r="B5" i="7" s="1"/>
  <c r="D2" i="8"/>
  <c r="C5" i="7" s="1"/>
  <c r="C2" i="8"/>
  <c r="D5" i="7" s="1"/>
  <c r="B2" i="8"/>
  <c r="I6" i="7" s="1"/>
  <c r="X8" i="1" l="1"/>
  <c r="E2" i="2" l="1"/>
  <c r="H4" i="5"/>
  <c r="B5" i="1" l="1"/>
  <c r="W8" i="1" l="1"/>
  <c r="D2" i="2" l="1"/>
  <c r="C2" i="2"/>
  <c r="C5" i="1" l="1"/>
  <c r="I6" i="1"/>
  <c r="I15" i="7"/>
  <c r="T15" i="7" l="1"/>
  <c r="R15" i="7"/>
  <c r="I15" i="1"/>
  <c r="T15" i="1" s="1"/>
  <c r="J15" i="7"/>
  <c r="N15" i="7"/>
  <c r="C15" i="7"/>
  <c r="G15" i="7"/>
  <c r="F15" i="7"/>
  <c r="K15" i="7"/>
  <c r="O15" i="7"/>
  <c r="D15" i="7"/>
  <c r="H15" i="7"/>
  <c r="M15" i="7"/>
  <c r="L15" i="7"/>
  <c r="E15" i="7"/>
  <c r="I16" i="7"/>
  <c r="I14" i="7"/>
  <c r="Q15" i="7" l="1"/>
  <c r="P15" i="7"/>
  <c r="B15" i="7"/>
  <c r="R15" i="1"/>
  <c r="T16" i="7"/>
  <c r="R16" i="7"/>
  <c r="S15" i="7"/>
  <c r="T14" i="7"/>
  <c r="R14" i="7"/>
  <c r="U15" i="7"/>
  <c r="F15" i="1"/>
  <c r="H15" i="1"/>
  <c r="K15" i="1"/>
  <c r="U15" i="1" s="1"/>
  <c r="C15" i="1"/>
  <c r="E15" i="1"/>
  <c r="D15" i="1"/>
  <c r="I16" i="1"/>
  <c r="I14" i="1"/>
  <c r="M15" i="1"/>
  <c r="L15" i="1"/>
  <c r="G15" i="1"/>
  <c r="N15" i="1"/>
  <c r="O15" i="1"/>
  <c r="J15" i="1"/>
  <c r="L14" i="7"/>
  <c r="E14" i="7"/>
  <c r="K14" i="7"/>
  <c r="M14" i="7"/>
  <c r="F14" i="7"/>
  <c r="D14" i="7"/>
  <c r="J14" i="7"/>
  <c r="N14" i="7"/>
  <c r="C14" i="7"/>
  <c r="G14" i="7"/>
  <c r="O14" i="7"/>
  <c r="H14" i="7"/>
  <c r="L16" i="7"/>
  <c r="E16" i="7"/>
  <c r="K16" i="7"/>
  <c r="M16" i="7"/>
  <c r="F16" i="7"/>
  <c r="D16" i="7"/>
  <c r="J16" i="7"/>
  <c r="N16" i="7"/>
  <c r="C16" i="7"/>
  <c r="G16" i="7"/>
  <c r="O16" i="7"/>
  <c r="H16" i="7"/>
  <c r="I13" i="7"/>
  <c r="I17" i="7"/>
  <c r="Q15" i="1" l="1"/>
  <c r="Q16" i="7"/>
  <c r="Q14" i="7"/>
  <c r="P15" i="1"/>
  <c r="P16" i="7"/>
  <c r="P14" i="7"/>
  <c r="B15" i="1"/>
  <c r="B16" i="7"/>
  <c r="B14" i="7"/>
  <c r="S15" i="1"/>
  <c r="T14" i="1"/>
  <c r="R14" i="1"/>
  <c r="T16" i="1"/>
  <c r="R16" i="1"/>
  <c r="T17" i="7"/>
  <c r="R17" i="7"/>
  <c r="U14" i="7"/>
  <c r="T13" i="7"/>
  <c r="R13" i="7"/>
  <c r="S16" i="7"/>
  <c r="S14" i="7"/>
  <c r="U16" i="7"/>
  <c r="H16" i="1"/>
  <c r="J14" i="1"/>
  <c r="N16" i="1"/>
  <c r="F16" i="1"/>
  <c r="J16" i="1"/>
  <c r="K16" i="1"/>
  <c r="O16" i="1"/>
  <c r="D16" i="1"/>
  <c r="E16" i="1"/>
  <c r="I17" i="1"/>
  <c r="M16" i="1"/>
  <c r="L16" i="1"/>
  <c r="C16" i="1"/>
  <c r="G16" i="1"/>
  <c r="E14" i="1"/>
  <c r="N14" i="1"/>
  <c r="H14" i="1"/>
  <c r="C14" i="1"/>
  <c r="D14" i="1"/>
  <c r="I13" i="1"/>
  <c r="G14" i="1"/>
  <c r="L14" i="1"/>
  <c r="F14" i="1"/>
  <c r="O14" i="1"/>
  <c r="K14" i="1"/>
  <c r="M14" i="1"/>
  <c r="J17" i="7"/>
  <c r="N17" i="7"/>
  <c r="C17" i="7"/>
  <c r="G17" i="7"/>
  <c r="F17" i="7"/>
  <c r="K17" i="7"/>
  <c r="O17" i="7"/>
  <c r="D17" i="7"/>
  <c r="H17" i="7"/>
  <c r="M17" i="7"/>
  <c r="L17" i="7"/>
  <c r="E17" i="7"/>
  <c r="J13" i="7"/>
  <c r="N13" i="7"/>
  <c r="C13" i="7"/>
  <c r="G13" i="7"/>
  <c r="K13" i="7"/>
  <c r="O13" i="7"/>
  <c r="D13" i="7"/>
  <c r="H13" i="7"/>
  <c r="M13" i="7"/>
  <c r="L13" i="7"/>
  <c r="AE8" i="7" s="1"/>
  <c r="E13" i="7"/>
  <c r="F13" i="7"/>
  <c r="AD8" i="7" s="1"/>
  <c r="I12" i="7"/>
  <c r="I18" i="7"/>
  <c r="AF8" i="7" l="1"/>
  <c r="Q17" i="7"/>
  <c r="Q13" i="7"/>
  <c r="Q16" i="1"/>
  <c r="Q14" i="1"/>
  <c r="P14" i="1"/>
  <c r="P16" i="1"/>
  <c r="P13" i="7"/>
  <c r="P17" i="7"/>
  <c r="B16" i="1"/>
  <c r="B17" i="7"/>
  <c r="B13" i="7"/>
  <c r="B14" i="1"/>
  <c r="U16" i="1"/>
  <c r="U13" i="7"/>
  <c r="T17" i="1"/>
  <c r="R17" i="1"/>
  <c r="S16" i="1"/>
  <c r="U14" i="1"/>
  <c r="S14" i="1"/>
  <c r="T13" i="1"/>
  <c r="R13" i="1"/>
  <c r="S17" i="7"/>
  <c r="T12" i="7"/>
  <c r="R12" i="7"/>
  <c r="T18" i="7"/>
  <c r="R18" i="7"/>
  <c r="S13" i="7"/>
  <c r="U17" i="7"/>
  <c r="M17" i="1"/>
  <c r="I12" i="1"/>
  <c r="F12" i="1" s="1"/>
  <c r="I18" i="1"/>
  <c r="C18" i="1" s="1"/>
  <c r="G17" i="1"/>
  <c r="F17" i="1"/>
  <c r="J17" i="1"/>
  <c r="O17" i="1"/>
  <c r="D17" i="1"/>
  <c r="E17" i="1"/>
  <c r="K17" i="1"/>
  <c r="N17" i="1"/>
  <c r="C17" i="1"/>
  <c r="L17" i="1"/>
  <c r="H17" i="1"/>
  <c r="G13" i="1"/>
  <c r="K13" i="1"/>
  <c r="F13" i="1"/>
  <c r="AD8" i="1" s="1"/>
  <c r="J13" i="1"/>
  <c r="M13" i="1"/>
  <c r="O13" i="1"/>
  <c r="L13" i="1"/>
  <c r="AE8" i="1" s="1"/>
  <c r="N13" i="1"/>
  <c r="C13" i="1"/>
  <c r="D13" i="1"/>
  <c r="E13" i="1"/>
  <c r="H13" i="1"/>
  <c r="L12" i="7"/>
  <c r="E12" i="7"/>
  <c r="K12" i="7"/>
  <c r="H12" i="7"/>
  <c r="M12" i="7"/>
  <c r="F12" i="7"/>
  <c r="D12" i="7"/>
  <c r="J12" i="7"/>
  <c r="N12" i="7"/>
  <c r="C12" i="7"/>
  <c r="G12" i="7"/>
  <c r="O12" i="7"/>
  <c r="L18" i="7"/>
  <c r="E18" i="7"/>
  <c r="K18" i="7"/>
  <c r="H18" i="7"/>
  <c r="M18" i="7"/>
  <c r="F18" i="7"/>
  <c r="D18" i="7"/>
  <c r="J18" i="7"/>
  <c r="N18" i="7"/>
  <c r="C18" i="7"/>
  <c r="G18" i="7"/>
  <c r="O18" i="7"/>
  <c r="I19" i="7"/>
  <c r="I11" i="7"/>
  <c r="AF8" i="1" l="1"/>
  <c r="Q17" i="1"/>
  <c r="Q13" i="1"/>
  <c r="Q18" i="7"/>
  <c r="Q12" i="7"/>
  <c r="P13" i="1"/>
  <c r="P18" i="7"/>
  <c r="P12" i="7"/>
  <c r="P17" i="1"/>
  <c r="B12" i="7"/>
  <c r="B18" i="7"/>
  <c r="B13" i="1"/>
  <c r="B17" i="1"/>
  <c r="K12" i="1"/>
  <c r="S13" i="1"/>
  <c r="D12" i="1"/>
  <c r="C12" i="1"/>
  <c r="I11" i="1"/>
  <c r="R11" i="1" s="1"/>
  <c r="U18" i="7"/>
  <c r="U13" i="1"/>
  <c r="S17" i="1"/>
  <c r="T12" i="1"/>
  <c r="R12" i="1"/>
  <c r="O12" i="1"/>
  <c r="L12" i="1"/>
  <c r="M12" i="1"/>
  <c r="N12" i="1"/>
  <c r="H12" i="1"/>
  <c r="E12" i="1"/>
  <c r="G12" i="1"/>
  <c r="T18" i="1"/>
  <c r="R18" i="1"/>
  <c r="U17" i="1"/>
  <c r="S12" i="7"/>
  <c r="U12" i="7"/>
  <c r="T19" i="7"/>
  <c r="R19" i="7"/>
  <c r="T11" i="7"/>
  <c r="R11" i="7"/>
  <c r="S18" i="7"/>
  <c r="J12" i="1"/>
  <c r="I19" i="1"/>
  <c r="H19" i="1" s="1"/>
  <c r="M18" i="1"/>
  <c r="J18" i="1"/>
  <c r="G18" i="1"/>
  <c r="N18" i="1"/>
  <c r="H18" i="1"/>
  <c r="O18" i="1"/>
  <c r="Q18" i="1" s="1"/>
  <c r="L18" i="1"/>
  <c r="D18" i="1"/>
  <c r="F18" i="1"/>
  <c r="E18" i="1"/>
  <c r="K18" i="1"/>
  <c r="J19" i="7"/>
  <c r="N19" i="7"/>
  <c r="C19" i="7"/>
  <c r="G19" i="7"/>
  <c r="K19" i="7"/>
  <c r="O19" i="7"/>
  <c r="D19" i="7"/>
  <c r="H19" i="7"/>
  <c r="L19" i="7"/>
  <c r="E19" i="7"/>
  <c r="M19" i="7"/>
  <c r="F19" i="7"/>
  <c r="J11" i="7"/>
  <c r="N11" i="7"/>
  <c r="C11" i="7"/>
  <c r="G11" i="7"/>
  <c r="K11" i="7"/>
  <c r="O11" i="7"/>
  <c r="D11" i="7"/>
  <c r="H11" i="7"/>
  <c r="M11" i="7"/>
  <c r="L11" i="7"/>
  <c r="E11" i="7"/>
  <c r="F11" i="7"/>
  <c r="I10" i="7"/>
  <c r="I20" i="7"/>
  <c r="Q11" i="7" l="1"/>
  <c r="Q19" i="7"/>
  <c r="Q12" i="1"/>
  <c r="P11" i="7"/>
  <c r="P19" i="7"/>
  <c r="P12" i="1"/>
  <c r="P18" i="1"/>
  <c r="T11" i="1"/>
  <c r="B11" i="7"/>
  <c r="B19" i="7"/>
  <c r="B12" i="1"/>
  <c r="B18" i="1"/>
  <c r="D11" i="1"/>
  <c r="J11" i="1"/>
  <c r="K11" i="1"/>
  <c r="G11" i="1"/>
  <c r="S11" i="1" s="1"/>
  <c r="M11" i="1"/>
  <c r="L11" i="1"/>
  <c r="O11" i="1"/>
  <c r="N11" i="1"/>
  <c r="E11" i="1"/>
  <c r="F11" i="1"/>
  <c r="H11" i="1"/>
  <c r="I10" i="1"/>
  <c r="H10" i="1" s="1"/>
  <c r="S12" i="1"/>
  <c r="D19" i="1"/>
  <c r="B19" i="1" s="1"/>
  <c r="U18" i="1"/>
  <c r="S18" i="1"/>
  <c r="C11" i="1"/>
  <c r="U12" i="1"/>
  <c r="I20" i="1"/>
  <c r="T20" i="1" s="1"/>
  <c r="E19" i="1"/>
  <c r="M19" i="1"/>
  <c r="J19" i="1"/>
  <c r="O19" i="1"/>
  <c r="N19" i="1"/>
  <c r="K19" i="1"/>
  <c r="T19" i="1"/>
  <c r="R19" i="1"/>
  <c r="G19" i="1"/>
  <c r="L19" i="1"/>
  <c r="S19" i="7"/>
  <c r="U19" i="7"/>
  <c r="S11" i="7"/>
  <c r="T20" i="7"/>
  <c r="R20" i="7"/>
  <c r="T10" i="7"/>
  <c r="R10" i="7"/>
  <c r="U11" i="7"/>
  <c r="F19" i="1"/>
  <c r="C19" i="1"/>
  <c r="L20" i="7"/>
  <c r="E20" i="7"/>
  <c r="O20" i="7"/>
  <c r="D20" i="7"/>
  <c r="M20" i="7"/>
  <c r="F20" i="7"/>
  <c r="K20" i="7"/>
  <c r="H20" i="7"/>
  <c r="J20" i="7"/>
  <c r="N20" i="7"/>
  <c r="C20" i="7"/>
  <c r="G20" i="7"/>
  <c r="L10" i="7"/>
  <c r="E10" i="7"/>
  <c r="O10" i="7"/>
  <c r="H10" i="7"/>
  <c r="M10" i="7"/>
  <c r="F10" i="7"/>
  <c r="D10" i="7"/>
  <c r="J10" i="7"/>
  <c r="N10" i="7"/>
  <c r="C10" i="7"/>
  <c r="G10" i="7"/>
  <c r="K10" i="7"/>
  <c r="I9" i="7"/>
  <c r="I21" i="7"/>
  <c r="Q19" i="1" l="1"/>
  <c r="Q11" i="1"/>
  <c r="Q10" i="7"/>
  <c r="Q20" i="7"/>
  <c r="P20" i="7"/>
  <c r="P19" i="1"/>
  <c r="P11" i="1"/>
  <c r="P10" i="7"/>
  <c r="U11" i="1"/>
  <c r="B10" i="7"/>
  <c r="B20" i="7"/>
  <c r="B11" i="1"/>
  <c r="G10" i="1"/>
  <c r="L10" i="1"/>
  <c r="D10" i="1"/>
  <c r="B10" i="1" s="1"/>
  <c r="O10" i="1"/>
  <c r="M10" i="1"/>
  <c r="I9" i="1"/>
  <c r="E9" i="1" s="1"/>
  <c r="R10" i="1"/>
  <c r="F10" i="1"/>
  <c r="K10" i="1"/>
  <c r="J10" i="1"/>
  <c r="N10" i="1"/>
  <c r="T10" i="1"/>
  <c r="C10" i="1"/>
  <c r="E10" i="1"/>
  <c r="S19" i="1"/>
  <c r="C20" i="1"/>
  <c r="J20" i="1"/>
  <c r="E20" i="1"/>
  <c r="D20" i="1"/>
  <c r="G20" i="1"/>
  <c r="M20" i="1"/>
  <c r="O20" i="1"/>
  <c r="H20" i="1"/>
  <c r="L20" i="1"/>
  <c r="K20" i="1"/>
  <c r="U20" i="1" s="1"/>
  <c r="R20" i="1"/>
  <c r="N20" i="1"/>
  <c r="F20" i="1"/>
  <c r="I21" i="1"/>
  <c r="L21" i="1" s="1"/>
  <c r="U20" i="7"/>
  <c r="U19" i="1"/>
  <c r="S10" i="7"/>
  <c r="T21" i="7"/>
  <c r="R21" i="7"/>
  <c r="U10" i="7"/>
  <c r="T9" i="7"/>
  <c r="R9" i="7"/>
  <c r="S20" i="7"/>
  <c r="M9" i="7"/>
  <c r="H9" i="7"/>
  <c r="D9" i="7"/>
  <c r="C9" i="7"/>
  <c r="N9" i="7"/>
  <c r="L9" i="7"/>
  <c r="G9" i="7"/>
  <c r="J9" i="7"/>
  <c r="O9" i="7"/>
  <c r="K9" i="7"/>
  <c r="F9" i="7"/>
  <c r="E9" i="7"/>
  <c r="J21" i="7"/>
  <c r="N21" i="7"/>
  <c r="C21" i="7"/>
  <c r="G21" i="7"/>
  <c r="K21" i="7"/>
  <c r="O21" i="7"/>
  <c r="D21" i="7"/>
  <c r="H21" i="7"/>
  <c r="L21" i="7"/>
  <c r="E21" i="7"/>
  <c r="M21" i="7"/>
  <c r="F21" i="7"/>
  <c r="Q10" i="1" l="1"/>
  <c r="Q20" i="1"/>
  <c r="Q9" i="7"/>
  <c r="Q21" i="7"/>
  <c r="P9" i="7"/>
  <c r="P10" i="1"/>
  <c r="P20" i="1"/>
  <c r="P21" i="7"/>
  <c r="B21" i="7"/>
  <c r="B9" i="7"/>
  <c r="B20" i="1"/>
  <c r="S10" i="1"/>
  <c r="F9" i="1"/>
  <c r="C21" i="1"/>
  <c r="G9" i="1"/>
  <c r="N9" i="1"/>
  <c r="J9" i="1"/>
  <c r="T9" i="1"/>
  <c r="D9" i="1"/>
  <c r="C9" i="1"/>
  <c r="K9" i="1"/>
  <c r="O9" i="1"/>
  <c r="R9" i="1"/>
  <c r="H9" i="1"/>
  <c r="M9" i="1"/>
  <c r="L9" i="1"/>
  <c r="U10" i="1"/>
  <c r="G21" i="1"/>
  <c r="F21" i="1"/>
  <c r="N21" i="1"/>
  <c r="S20" i="1"/>
  <c r="O21" i="1"/>
  <c r="K21" i="1"/>
  <c r="R21" i="1"/>
  <c r="J21" i="1"/>
  <c r="M21" i="1"/>
  <c r="D21" i="1"/>
  <c r="E21" i="1"/>
  <c r="E22" i="1" s="1"/>
  <c r="AA8" i="1" s="1"/>
  <c r="H21" i="1"/>
  <c r="T21" i="1"/>
  <c r="S21" i="7"/>
  <c r="S9" i="7"/>
  <c r="U21" i="7"/>
  <c r="U9" i="7"/>
  <c r="E22" i="7"/>
  <c r="AA8" i="7" s="1"/>
  <c r="N22" i="7"/>
  <c r="Z8" i="7" s="1"/>
  <c r="C22" i="7"/>
  <c r="D22" i="7"/>
  <c r="Y8" i="7" s="1"/>
  <c r="O22" i="7"/>
  <c r="M22" i="7"/>
  <c r="AB8" i="7" s="1"/>
  <c r="Q21" i="1" l="1"/>
  <c r="AC8" i="7"/>
  <c r="Q9" i="1"/>
  <c r="Q22" i="7"/>
  <c r="K5" i="7"/>
  <c r="P9" i="1"/>
  <c r="P21" i="1"/>
  <c r="B21" i="1"/>
  <c r="O22" i="1"/>
  <c r="B9" i="1"/>
  <c r="N22" i="1"/>
  <c r="Z8" i="1" s="1"/>
  <c r="S9" i="1"/>
  <c r="C22" i="1"/>
  <c r="U9" i="1"/>
  <c r="U21" i="1"/>
  <c r="M22" i="1"/>
  <c r="AB8" i="1" s="1"/>
  <c r="S21" i="1"/>
  <c r="D22" i="1"/>
  <c r="Y8" i="1" s="1"/>
  <c r="L5" i="7"/>
  <c r="N5" i="7"/>
  <c r="P5" i="7"/>
  <c r="Q22" i="1" l="1"/>
  <c r="P5" i="1"/>
  <c r="K5" i="1"/>
  <c r="L5" i="1"/>
  <c r="N5" i="1"/>
  <c r="AC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Kapil</author>
  </authors>
  <commentList>
    <comment ref="I2" authorId="0" shapeId="0" xr:uid="{00000000-0006-0000-0400-000001000000}">
      <text>
        <r>
          <rPr>
            <b/>
            <sz val="9"/>
            <color indexed="81"/>
            <rFont val="Tahoma"/>
            <family val="2"/>
          </rPr>
          <t>Active Strikes  = 1 ITM + ATM + 1 OTM</t>
        </r>
      </text>
    </comment>
    <comment ref="J2" authorId="0" shapeId="0" xr:uid="{00000000-0006-0000-0400-000002000000}">
      <text>
        <r>
          <rPr>
            <b/>
            <sz val="9"/>
            <color indexed="81"/>
            <rFont val="Tahoma"/>
            <family val="2"/>
          </rPr>
          <t>Active Strikes  = 1 ITM + ATM + 1 OTM</t>
        </r>
        <r>
          <rPr>
            <sz val="9"/>
            <color indexed="81"/>
            <rFont val="Tahoma"/>
            <family val="2"/>
          </rPr>
          <t xml:space="preserve">
</t>
        </r>
      </text>
    </comment>
    <comment ref="K2" authorId="0" shapeId="0" xr:uid="{00000000-0006-0000-0400-000003000000}">
      <text>
        <r>
          <rPr>
            <b/>
            <sz val="9"/>
            <color indexed="81"/>
            <rFont val="Tahoma"/>
            <family val="2"/>
          </rPr>
          <t>Active Strikes  = 1 ITM + ATM + 1 OTM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Kapil</author>
  </authors>
  <commentList>
    <comment ref="I2" authorId="0" shapeId="0" xr:uid="{00000000-0006-0000-0500-000001000000}">
      <text>
        <r>
          <rPr>
            <b/>
            <sz val="9"/>
            <color indexed="81"/>
            <rFont val="Tahoma"/>
            <family val="2"/>
          </rPr>
          <t>Active Strikes  = 1 ITM + ATM + 1 OTM</t>
        </r>
      </text>
    </comment>
    <comment ref="J2" authorId="0" shapeId="0" xr:uid="{00000000-0006-0000-0500-000002000000}">
      <text>
        <r>
          <rPr>
            <b/>
            <sz val="9"/>
            <color indexed="81"/>
            <rFont val="Tahoma"/>
            <family val="2"/>
          </rPr>
          <t>Active Strikes  = 1 ITM + ATM + 1 OTM</t>
        </r>
        <r>
          <rPr>
            <sz val="9"/>
            <color indexed="81"/>
            <rFont val="Tahoma"/>
            <family val="2"/>
          </rPr>
          <t xml:space="preserve">
</t>
        </r>
      </text>
    </comment>
    <comment ref="K2" authorId="0" shapeId="0" xr:uid="{00000000-0006-0000-0500-000003000000}">
      <text>
        <r>
          <rPr>
            <b/>
            <sz val="9"/>
            <color indexed="81"/>
            <rFont val="Tahoma"/>
            <family val="2"/>
          </rPr>
          <t>Active Strikes  = 1 ITM + ATM + 1 OTM</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interval="5" name="Query - cookie" description="Connection to the 'cookie' query in the workbook." type="5" refreshedVersion="0" background="1" saveData="1">
    <dbPr connection="Provider=Microsoft.Mashup.OleDb.1;Data Source=$Workbook$;Location=cookie;Extended Properties=&quot;&quot;" command="SELECT * FROM [cookie]"/>
    <extLst>
      <ext xmlns:x15="http://schemas.microsoft.com/office/spreadsheetml/2010/11/main" uri="{DE250136-89BD-433C-8126-D09CA5730AF9}">
        <x15:connection id="" excludeFromRefreshAll="1"/>
      </ext>
    </extLst>
  </connection>
  <connection id="2" xr16:uid="{00000000-0015-0000-FFFF-FFFF01000000}" keepAlive="1" interval="3" name="Query - OptionData" description="Connection to the 'OptionData' query in the workbook." type="5" refreshedVersion="8" background="1" refreshOnLoad="1" saveData="1">
    <dbPr connection="Provider=Microsoft.Mashup.OleDb.1;Data Source=$Workbook$;Location=OptionData;Extended Properties=&quot;&quot;" command="SELECT * FROM [OptionData]"/>
  </connection>
  <connection id="3" xr16:uid="{00000000-0015-0000-FFFF-FFFF02000000}" keepAlive="1" interval="3" name="Query - OptionDataBNF" description="Connection to the 'OptionDataBNF' query in the workbook." type="5" refreshedVersion="8" background="1" refreshOnLoad="1" saveData="1" credentials="none">
    <dbPr connection="Provider=Microsoft.Mashup.OleDb.1;Data Source=$Workbook$;Location=OptionDataBNF;Extended Properties=&quot;&quot;" command="SELECT * FROM [OptionDataBNF]"/>
  </connection>
  <connection id="4" xr16:uid="{00000000-0015-0000-FFFF-FFFF03000000}" keepAlive="1" name="Query - OptionType" description="Connection to the 'OptionType' query in the workbook." type="5" refreshedVersion="0" background="1">
    <dbPr connection="Provider=Microsoft.Mashup.OleDb.1;Data Source=$Workbook$;Location=OptionType;Extended Properties=&quot;&quot;" command="SELECT * FROM [OptionType]"/>
  </connection>
  <connection id="5" xr16:uid="{00000000-0015-0000-FFFF-FFFF04000000}" keepAlive="1" name="Query - symbol" description="Connection to the 'symbol' query in the workbook." type="5" refreshedVersion="0" background="1">
    <dbPr connection="Provider=Microsoft.Mashup.OleDb.1;Data Source=$Workbook$;Location=symbol;Extended Properties=&quot;&quot;" command="SELECT * FROM [symbol]"/>
  </connection>
</connections>
</file>

<file path=xl/sharedStrings.xml><?xml version="1.0" encoding="utf-8"?>
<sst xmlns="http://schemas.openxmlformats.org/spreadsheetml/2006/main" count="782" uniqueCount="238">
  <si>
    <t>SYMBOL</t>
  </si>
  <si>
    <t>NIFTY</t>
  </si>
  <si>
    <t>EXPIRY</t>
  </si>
  <si>
    <t>STRIKE DIFF.</t>
  </si>
  <si>
    <t>OI-PCR</t>
  </si>
  <si>
    <t>VOL-PCR</t>
  </si>
  <si>
    <t>CALL SIDE</t>
  </si>
  <si>
    <t>INTERPRETATION</t>
  </si>
  <si>
    <t>OI</t>
  </si>
  <si>
    <t>CHANGE OI</t>
  </si>
  <si>
    <t>IV</t>
  </si>
  <si>
    <t>VOLUME</t>
  </si>
  <si>
    <t>LTP</t>
  </si>
  <si>
    <t>PCHNG</t>
  </si>
  <si>
    <t>STRIKE PRICE</t>
  </si>
  <si>
    <t>PUT SIDE</t>
  </si>
  <si>
    <t>SPOT PRICE</t>
  </si>
  <si>
    <t>Column1.strikePrice</t>
  </si>
  <si>
    <t>Column1.expiryDate</t>
  </si>
  <si>
    <t>CALL.openInterest</t>
  </si>
  <si>
    <t>CALL.changeinOpenInterest</t>
  </si>
  <si>
    <t>CALL.totalTradedVolume</t>
  </si>
  <si>
    <t>CALL.impliedVolatility</t>
  </si>
  <si>
    <t>CALL.lastPrice</t>
  </si>
  <si>
    <t>CALL.change</t>
  </si>
  <si>
    <t>PUT.openInterest</t>
  </si>
  <si>
    <t>PUT.changeinOpenInterest</t>
  </si>
  <si>
    <t>PUT.totalTradedVolume</t>
  </si>
  <si>
    <t>PUT.impliedVolatility</t>
  </si>
  <si>
    <t>PUT.lastPrice</t>
  </si>
  <si>
    <t>PUT.change</t>
  </si>
  <si>
    <t>PUT.underlyingValue</t>
  </si>
  <si>
    <t>STRIKE DIFF</t>
  </si>
  <si>
    <t>TOTAL</t>
  </si>
  <si>
    <t>Fresh Longs</t>
  </si>
  <si>
    <t>CE</t>
  </si>
  <si>
    <t>PE</t>
  </si>
  <si>
    <t>Bullish View</t>
  </si>
  <si>
    <t>Bearish View</t>
  </si>
  <si>
    <t>Fresh Shorts</t>
  </si>
  <si>
    <t>Long Liquidation/Unwinding</t>
  </si>
  <si>
    <t>Closing of Bullish Position</t>
  </si>
  <si>
    <t>Closing of Bearish Position</t>
  </si>
  <si>
    <t>Short Covering</t>
  </si>
  <si>
    <t>cookie</t>
  </si>
  <si>
    <t>cookie list</t>
  </si>
  <si>
    <t xml:space="preserve"> </t>
  </si>
  <si>
    <t>nsit=2CiThO-OZWeFeWBoVccvs6hr; nseappid=eyJhbGciOiJIUzI1NiIsInR5cCI6IkpXVCJ9.eyJpc3MiOiJhcGkubnNlIiwiYXVkIjoiYXBpLm5zZSIsImlhdCI6MTYwNjc0MjIxMSwiZXhwIjoxNjA2NzQ1ODExfQ.MWCVg1JNx1rD60_WL3yO4nYribfajlhFwHoAMdmp7zo</t>
  </si>
  <si>
    <t>nsit=2CiThO-OZWeFeWBoVccvs6hr; nseappid=eyJhbGciOiJIUzI1NiIsInR5cCI6IkpXVCJ9.eyJpc3MiOiJhcGkubnNlIiwiYXVkIjoiYXBpLm5zZSIsImlhdCI6MTYwNjc0MjQ0NCwiZXhwIjoxNjA2NzQ2MDQ0fQ.u_WD40rgs5Ys81IY_vMqz0YsjE49DrcmlDLi8K1OEJk</t>
  </si>
  <si>
    <t>Expiry</t>
  </si>
  <si>
    <t>INTRADAY VIEW</t>
  </si>
  <si>
    <t>WEEKLY VIEW</t>
  </si>
  <si>
    <t>BANKNIFTY</t>
  </si>
  <si>
    <t>Difference</t>
  </si>
  <si>
    <t>NIFTY SPOT</t>
  </si>
  <si>
    <t>TIME</t>
  </si>
  <si>
    <t>CE CIO</t>
  </si>
  <si>
    <t>PE CIO</t>
  </si>
  <si>
    <t>CALL Change in OI</t>
  </si>
  <si>
    <t>PUT Change in OI</t>
  </si>
  <si>
    <t>nsit=kdWljYX1XVN9Y6FB-fpTv0oA; nseappid=eyJhbGciOiJIUzI1NiIsInR5cCI6IkpXVCJ9.eyJpc3MiOiJhcGkubnNlIiwiYXVkIjoiYXBpLm5zZSIsImlhdCI6MTYwNzIwNDI0MywiZXhwIjoxNjA3MjA3ODQzfQ.8iK296EMot4NzJ4tha-xqkG5gNfSMcSYH8HQ2L1jpBw;</t>
  </si>
  <si>
    <t>nsit=lJek22viBOFSA2GjzTXMe_kI;  nseappid=eyJhbGciOiJIUzI1NiIsInR5cCI6IkpXVCJ9.eyJpc3MiOiJhcGkubnNlIiwiYXVkIjoiYXBpLm5zZSIsImlhdCI6MTYwNzIwNDY0MCwiZXhwIjoxNjA3MjA4MjQwfQ.TQFqb975LyM5NiAwGrft1j4Bp2WS9YQodoXodyM7z9g;nseappid=eyJhbGciOiJIUzI1NiIsInR5cCI6IkpXVCJ9.eyJpc3MiOiJhcGkubnNlIiwiYXVkIjoiYXBpLm5zZSIsImlhdCI6MTYwNjczNDQ3MSwiZXhwIjoxNjA2NzM4MDcxfQ.cyeiXW18YK9P8b8omWjzODYuXj5-2PQHEXkgx4RSl2c</t>
  </si>
  <si>
    <t>nsit=lm-1P2vEGqeWN3StO1jso2Qt; nseappid=eyJhbGciOiJIUzI1NiIsInR5cCI6IkpXVCJ9.eyJpc3MiOiJhcGkubnNlIiwiYXVkIjoiYXBpLm5zZSIsImlhdCI6MTYwNzIzMzYzNCwiZXhwIjoxNjA3MjM3MjM0fQ.BDDQbOYxBSX_P046XE9mVZQN0XEGzbzuxr--KFakVyY</t>
  </si>
  <si>
    <t>nsit=2W0sZqLMoQU6pIEn2ggiYUD1; nseappid=eyJhbGciOiJIUzI1NiIsInR5cCI6IkpXVCJ9.eyJpc3MiOiJhcGkubnNlIiwiYXVkIjoiYXBpLm5zZSIsImlhdCI6MTYwNzUxOTk3NiwiZXhwIjoxNjA3NTIzNTc2fQ.Nk-4SGhfxhtNUWb0DnDRiy-2Yu1BbBUAGtfeI1fxnlo;</t>
  </si>
  <si>
    <t xml:space="preserve">ACC       </t>
  </si>
  <si>
    <t xml:space="preserve">ADANIENT  </t>
  </si>
  <si>
    <t>ADANIPORTS</t>
  </si>
  <si>
    <t>AMARAJABAT</t>
  </si>
  <si>
    <t xml:space="preserve">AMBUJACEM </t>
  </si>
  <si>
    <t>APOLLOHOSP</t>
  </si>
  <si>
    <t>APOLLOTYRE</t>
  </si>
  <si>
    <t xml:space="preserve">ASHOKLEY  </t>
  </si>
  <si>
    <t>ASIANPAINT</t>
  </si>
  <si>
    <t>AUROPHARMA</t>
  </si>
  <si>
    <t xml:space="preserve">AXISBANK  </t>
  </si>
  <si>
    <t>BAJAJ-AUTO</t>
  </si>
  <si>
    <t>BAJAJFINSV</t>
  </si>
  <si>
    <t>BAJFINANCE</t>
  </si>
  <si>
    <t>BALKRISIND</t>
  </si>
  <si>
    <t>BANDHANBNK</t>
  </si>
  <si>
    <t>BANKBARODA</t>
  </si>
  <si>
    <t xml:space="preserve">BATAINDIA </t>
  </si>
  <si>
    <t xml:space="preserve">BEL       </t>
  </si>
  <si>
    <t>BERGEPAINT</t>
  </si>
  <si>
    <t>BHARATFORG</t>
  </si>
  <si>
    <t>BHARTIARTL</t>
  </si>
  <si>
    <t xml:space="preserve">BHEL      </t>
  </si>
  <si>
    <t xml:space="preserve">BIOCON    </t>
  </si>
  <si>
    <t xml:space="preserve">BOSCHLTD  </t>
  </si>
  <si>
    <t xml:space="preserve">BPCL      </t>
  </si>
  <si>
    <t xml:space="preserve">BRITANNIA </t>
  </si>
  <si>
    <t xml:space="preserve">CADILAHC  </t>
  </si>
  <si>
    <t xml:space="preserve">CANBK     </t>
  </si>
  <si>
    <t xml:space="preserve">CHOLAFIN  </t>
  </si>
  <si>
    <t xml:space="preserve">CIPLA     </t>
  </si>
  <si>
    <t xml:space="preserve">COALINDIA </t>
  </si>
  <si>
    <t xml:space="preserve">COFORGE   </t>
  </si>
  <si>
    <t xml:space="preserve">COLPAL    </t>
  </si>
  <si>
    <t xml:space="preserve">CONCOR    </t>
  </si>
  <si>
    <t>CUMMINSIND</t>
  </si>
  <si>
    <t xml:space="preserve">DABUR     </t>
  </si>
  <si>
    <t xml:space="preserve">DIVISLAB  </t>
  </si>
  <si>
    <t xml:space="preserve">DLF       </t>
  </si>
  <si>
    <t xml:space="preserve">DRREDDY   </t>
  </si>
  <si>
    <t xml:space="preserve">EICHERMOT </t>
  </si>
  <si>
    <t xml:space="preserve">ESCORTS   </t>
  </si>
  <si>
    <t xml:space="preserve">EXIDEIND  </t>
  </si>
  <si>
    <t>FEDERALBNK</t>
  </si>
  <si>
    <t xml:space="preserve">GAIL      </t>
  </si>
  <si>
    <t xml:space="preserve">GLENMARK  </t>
  </si>
  <si>
    <t xml:space="preserve">GMRINFRA  </t>
  </si>
  <si>
    <t xml:space="preserve">GODREJCP  </t>
  </si>
  <si>
    <t>GODREJPROP</t>
  </si>
  <si>
    <t xml:space="preserve">GRASIM    </t>
  </si>
  <si>
    <t xml:space="preserve">HAVELLS   </t>
  </si>
  <si>
    <t xml:space="preserve">HCLTECH   </t>
  </si>
  <si>
    <t xml:space="preserve">HDFC      </t>
  </si>
  <si>
    <t xml:space="preserve">HDFCBANK  </t>
  </si>
  <si>
    <t xml:space="preserve">HDFCLIFE  </t>
  </si>
  <si>
    <t>HEROMOTOCO</t>
  </si>
  <si>
    <t xml:space="preserve">HINDALCO  </t>
  </si>
  <si>
    <t xml:space="preserve">HINDPETRO </t>
  </si>
  <si>
    <t>HINDUNILVR</t>
  </si>
  <si>
    <t>IBULHSGFIN</t>
  </si>
  <si>
    <t xml:space="preserve">ICICIBANK </t>
  </si>
  <si>
    <t xml:space="preserve">ICICIGI   </t>
  </si>
  <si>
    <t>ICICIPRULI</t>
  </si>
  <si>
    <t xml:space="preserve">IDEA      </t>
  </si>
  <si>
    <t>IDFCFIRSTB</t>
  </si>
  <si>
    <t xml:space="preserve">IGL       </t>
  </si>
  <si>
    <t xml:space="preserve">INDIGO    </t>
  </si>
  <si>
    <t>INDUSINDBK</t>
  </si>
  <si>
    <t xml:space="preserve">INFRATEL  </t>
  </si>
  <si>
    <t xml:space="preserve">INFY      </t>
  </si>
  <si>
    <t xml:space="preserve">IOC       </t>
  </si>
  <si>
    <t xml:space="preserve">ITC       </t>
  </si>
  <si>
    <t>JINDALSTEL</t>
  </si>
  <si>
    <t xml:space="preserve">JSWSTEEL  </t>
  </si>
  <si>
    <t xml:space="preserve">JUBLFOOD  </t>
  </si>
  <si>
    <t xml:space="preserve">KOTAKBANK </t>
  </si>
  <si>
    <t xml:space="preserve">L&amp;TFH     </t>
  </si>
  <si>
    <t xml:space="preserve">LICHSGFIN </t>
  </si>
  <si>
    <t xml:space="preserve">LT        </t>
  </si>
  <si>
    <t xml:space="preserve">LUPIN     </t>
  </si>
  <si>
    <t xml:space="preserve">M&amp;M       </t>
  </si>
  <si>
    <t xml:space="preserve">M&amp;MFIN    </t>
  </si>
  <si>
    <t>MANAPPURAM</t>
  </si>
  <si>
    <t xml:space="preserve">MARICO    </t>
  </si>
  <si>
    <t xml:space="preserve">MARUTI    </t>
  </si>
  <si>
    <t>MCDOWELL-N</t>
  </si>
  <si>
    <t xml:space="preserve">MFSL      </t>
  </si>
  <si>
    <t xml:space="preserve">MGL       </t>
  </si>
  <si>
    <t xml:space="preserve">MINDTREE  </t>
  </si>
  <si>
    <t>MOTHERSUMI</t>
  </si>
  <si>
    <t xml:space="preserve">MRF       </t>
  </si>
  <si>
    <t>MUTHOOTFIN</t>
  </si>
  <si>
    <t>NATIONALUM</t>
  </si>
  <si>
    <t xml:space="preserve">NAUKRI    </t>
  </si>
  <si>
    <t xml:space="preserve">NESTLEIND </t>
  </si>
  <si>
    <t xml:space="preserve">NMDC      </t>
  </si>
  <si>
    <t xml:space="preserve">NTPC      </t>
  </si>
  <si>
    <t xml:space="preserve">ONGC      </t>
  </si>
  <si>
    <t xml:space="preserve">PAGEIND   </t>
  </si>
  <si>
    <t xml:space="preserve">PEL       </t>
  </si>
  <si>
    <t xml:space="preserve">PETRONET  </t>
  </si>
  <si>
    <t xml:space="preserve">PFC       </t>
  </si>
  <si>
    <t>PIDILITIND</t>
  </si>
  <si>
    <t xml:space="preserve">PNB       </t>
  </si>
  <si>
    <t xml:space="preserve">POWERGRID </t>
  </si>
  <si>
    <t xml:space="preserve">PVR       </t>
  </si>
  <si>
    <t xml:space="preserve">RAMCOCEM  </t>
  </si>
  <si>
    <t xml:space="preserve">RBLBANK   </t>
  </si>
  <si>
    <t xml:space="preserve">RECLTD    </t>
  </si>
  <si>
    <t xml:space="preserve">RELIANCE  </t>
  </si>
  <si>
    <t xml:space="preserve">SAIL      </t>
  </si>
  <si>
    <t xml:space="preserve">SBILIFE   </t>
  </si>
  <si>
    <t xml:space="preserve">SBIN      </t>
  </si>
  <si>
    <t xml:space="preserve">SHREECEM  </t>
  </si>
  <si>
    <t xml:space="preserve">SIEMENS   </t>
  </si>
  <si>
    <t xml:space="preserve">SRF       </t>
  </si>
  <si>
    <t>SRTRANSFIN</t>
  </si>
  <si>
    <t xml:space="preserve">SUNPHARMA </t>
  </si>
  <si>
    <t xml:space="preserve">SUNTV     </t>
  </si>
  <si>
    <t xml:space="preserve">TATACHEM  </t>
  </si>
  <si>
    <t>TATACONSUM</t>
  </si>
  <si>
    <t>TATAMOTORS</t>
  </si>
  <si>
    <t xml:space="preserve">TATAPOWER </t>
  </si>
  <si>
    <t xml:space="preserve">TATASTEEL </t>
  </si>
  <si>
    <t xml:space="preserve">TCS       </t>
  </si>
  <si>
    <t xml:space="preserve">TECHM     </t>
  </si>
  <si>
    <t xml:space="preserve">TITAN     </t>
  </si>
  <si>
    <t>TORNTPHARM</t>
  </si>
  <si>
    <t>TORNTPOWER</t>
  </si>
  <si>
    <t xml:space="preserve">TVSMOTOR  </t>
  </si>
  <si>
    <t xml:space="preserve">UBL       </t>
  </si>
  <si>
    <t>ULTRACEMCO</t>
  </si>
  <si>
    <t xml:space="preserve">UPL       </t>
  </si>
  <si>
    <t xml:space="preserve">VEDL      </t>
  </si>
  <si>
    <t xml:space="preserve">VOLTAS    </t>
  </si>
  <si>
    <t xml:space="preserve">WIPRO     </t>
  </si>
  <si>
    <t xml:space="preserve">ZEEL      </t>
  </si>
  <si>
    <t>indices</t>
  </si>
  <si>
    <t>equities</t>
  </si>
  <si>
    <t>OPTION TYPE</t>
  </si>
  <si>
    <t>PUT.underlying</t>
  </si>
  <si>
    <t>Instrument</t>
  </si>
  <si>
    <t>NIFTY OPTION CHAIN ANALYSIS</t>
  </si>
  <si>
    <t>DO NOT DELETE</t>
  </si>
  <si>
    <t>BANK NIFTY OPTION CHAIN ANALYSIS</t>
  </si>
  <si>
    <t>nsit=mv-65-1IqFzBIt7X6QeSnogS; nseappid=eyJhbGciOiJIUzI1NiIsInR5cCI6IkpXVCJ9.eyJpc3MiOiJhcGkubnNlIiwiYXVkIjoiYXBpLm5zZSIsImlhdCI6MTYwNzgzNjMzNywiZXhwIjoxNjA3ODM5OTM3fQ.chbh7KoU7yhyIWWbL2cXA0TOysB-KHrvHPoHKpDYdbI;</t>
  </si>
  <si>
    <t>How to Use:</t>
  </si>
  <si>
    <t>3. DO NOT MODIFY THE VALUES in SHEETS "DB" and "DB2". THIS WILL FAIL EXCEL OPERATIONS.</t>
  </si>
  <si>
    <t>2. DO NOT RENAME THE EXCEL FILE NAME or NAME of ANY of the EXCEL SHEET. THIS WILL FAIL EXCEL OPERATIONS.</t>
  </si>
  <si>
    <t>1. IMPORTANT NOTE: The features in this excel workbook works with Microsoft Office version 2016 and above. For office version 2010 and 2013, please install free Power Query Add-On from Microsoft's Website. Follow the procedure mentioned here - https://www.excelcampus.com/install-power-query/</t>
  </si>
  <si>
    <t>4. Click on the button "Clear Data". This will clear the previous data from sheets NIFTY OI TREND and BNF OI TREND.</t>
  </si>
  <si>
    <t>5. Click on the button "Start OI Update" to start update of OI trend in sheets NIFTY OI TREND and BNF OI TREND. The data will auto refreshes after every 10 mins.</t>
  </si>
  <si>
    <t>6. Click on the button "Stop OI Update" to stop update of OI trend in sheets NIFTY OI TREND and BNF OI TREND.</t>
  </si>
  <si>
    <t>7. Data in sheets NIFTY OI ANALYSIS and BANK NIFTY OI ANALYSIS will auto refresh in every 5 mins.</t>
  </si>
  <si>
    <t>Disclaimer:</t>
  </si>
  <si>
    <t>This excel is only for educational and informational purpose.
The data fetched in the excel is fetched using publically available websites and using the webscraping methods of MS Excel. The data provided is as is and we donot have any copy rights on the same. The use of data for any financial decisions is responsibility of individual and we are not responsible of any profit or loss incurred due the use of this excel and data.</t>
  </si>
  <si>
    <t>Common Issues:</t>
  </si>
  <si>
    <t>If the following window is displayed and attempt to connect 4-5  times. Many time it gets connected. If it doesn't work then change the value of cookie field in sheet "Cookies"</t>
  </si>
  <si>
    <t>BANK NIFTY SPOT</t>
  </si>
  <si>
    <t>CE Volume</t>
  </si>
  <si>
    <t>PE Volume</t>
  </si>
  <si>
    <t>Intrinsic 
Value CE</t>
  </si>
  <si>
    <t>Time 
Value CE</t>
  </si>
  <si>
    <t>Intrinsic 
Value PE</t>
  </si>
  <si>
    <t>Time
Value PE</t>
  </si>
  <si>
    <t>Active CE IV</t>
  </si>
  <si>
    <t>Active PE IV</t>
  </si>
  <si>
    <t>Trend
(As per OI Diff)</t>
  </si>
  <si>
    <t>CE Active Strikes IV</t>
  </si>
  <si>
    <t>PE Active Strikes IV</t>
  </si>
  <si>
    <t>PCR</t>
  </si>
  <si>
    <t>Active Strike PCR</t>
  </si>
  <si>
    <t>Active Strikes PCR</t>
  </si>
  <si>
    <t>18-Aug-2022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</si>
</sst>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0409]hh:mm:ss\ AM/PM;@"/>
    <numFmt numFmtId="165" formatCode="hhmm"/>
    <numFmt numFmtId="166" formatCode="dd\-mmm\-yyyy\ h:mm:ss\ AM/PM"/>
  </numFmts>
  <fonts count="17" x14ac:knownFonts="1">
    <font>
      <sz val="11"/>
      <color theme="1"/>
      <name val="Calibri"/>
      <family val="2"/>
      <scheme val="minor"/>
    </font>
    <font>
      <sz val="11"/>
      <color theme="0"/>
      <name val="Calibri"/>
      <family val="2"/>
      <scheme val="minor"/>
    </font>
    <font>
      <b/>
      <sz val="16"/>
      <name val="Calibri"/>
      <family val="2"/>
      <scheme val="minor"/>
    </font>
    <font>
      <b/>
      <sz val="10"/>
      <color theme="0"/>
      <name val="Calibri"/>
      <family val="2"/>
      <scheme val="minor"/>
    </font>
    <font>
      <sz val="10"/>
      <color theme="0"/>
      <name val="Calibri"/>
      <family val="2"/>
      <scheme val="minor"/>
    </font>
    <font>
      <b/>
      <sz val="10"/>
      <name val="Calibri"/>
      <family val="2"/>
      <scheme val="minor"/>
    </font>
    <font>
      <b/>
      <sz val="9"/>
      <name val="Calibri"/>
      <family val="2"/>
      <scheme val="minor"/>
    </font>
    <font>
      <b/>
      <sz val="12"/>
      <name val="Calibri"/>
      <family val="2"/>
      <scheme val="minor"/>
    </font>
    <font>
      <b/>
      <sz val="11"/>
      <color rgb="FF000000"/>
      <name val="Calibri"/>
      <family val="2"/>
    </font>
    <font>
      <b/>
      <sz val="11"/>
      <color theme="0"/>
      <name val="Calibri"/>
      <family val="2"/>
      <scheme val="minor"/>
    </font>
    <font>
      <sz val="11"/>
      <name val="Calibri"/>
      <family val="2"/>
      <scheme val="minor"/>
    </font>
    <font>
      <b/>
      <sz val="14"/>
      <color theme="0"/>
      <name val="Calibri"/>
      <family val="2"/>
      <scheme val="minor"/>
    </font>
    <font>
      <sz val="10"/>
      <color theme="1"/>
      <name val="Calibri"/>
      <family val="2"/>
      <scheme val="minor"/>
    </font>
    <font>
      <b/>
      <sz val="10"/>
      <color theme="5" tint="-0.249977111117893"/>
      <name val="Calibri"/>
      <family val="2"/>
      <scheme val="minor"/>
    </font>
    <font>
      <b/>
      <sz val="10"/>
      <color theme="1"/>
      <name val="Calibri"/>
      <family val="2"/>
      <scheme val="minor"/>
    </font>
    <font>
      <sz val="9"/>
      <color indexed="81"/>
      <name val="Tahoma"/>
      <family val="2"/>
    </font>
    <font>
      <b/>
      <sz val="9"/>
      <color indexed="81"/>
      <name val="Tahoma"/>
      <family val="2"/>
    </font>
  </fonts>
  <fills count="14">
    <fill>
      <patternFill patternType="none"/>
    </fill>
    <fill>
      <patternFill patternType="gray125"/>
    </fill>
    <fill>
      <patternFill patternType="solid">
        <fgColor theme="5" tint="-0.249977111117893"/>
        <bgColor indexed="64"/>
      </patternFill>
    </fill>
    <fill>
      <patternFill patternType="solid">
        <fgColor rgb="FFFF0000"/>
        <bgColor indexed="64"/>
      </patternFill>
    </fill>
    <fill>
      <patternFill patternType="solid">
        <fgColor theme="1" tint="0.14996795556505021"/>
        <bgColor indexed="64"/>
      </patternFill>
    </fill>
    <fill>
      <patternFill patternType="solid">
        <fgColor rgb="FF00B050"/>
        <bgColor indexed="64"/>
      </patternFill>
    </fill>
    <fill>
      <patternFill patternType="solid">
        <fgColor theme="7" tint="0.79998168889431442"/>
        <bgColor indexed="64"/>
      </patternFill>
    </fill>
    <fill>
      <patternFill patternType="solid">
        <fgColor theme="7"/>
        <bgColor indexed="64"/>
      </patternFill>
    </fill>
    <fill>
      <patternFill patternType="solid">
        <fgColor rgb="FFF9F9F9"/>
        <bgColor indexed="64"/>
      </patternFill>
    </fill>
    <fill>
      <gradientFill>
        <stop position="0">
          <color theme="0"/>
        </stop>
        <stop position="1">
          <color theme="4"/>
        </stop>
      </gradientFill>
    </fill>
    <fill>
      <patternFill patternType="solid">
        <fgColor rgb="FFCC6600"/>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5" tint="0.39997558519241921"/>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thin">
        <color theme="0" tint="-0.34998626667073579"/>
      </bottom>
      <diagonal/>
    </border>
    <border>
      <left/>
      <right/>
      <top style="thin">
        <color theme="0" tint="-0.34998626667073579"/>
      </top>
      <bottom/>
      <diagonal/>
    </border>
    <border>
      <left style="medium">
        <color theme="7" tint="0.39994506668294322"/>
      </left>
      <right/>
      <top style="medium">
        <color theme="7" tint="0.39994506668294322"/>
      </top>
      <bottom/>
      <diagonal/>
    </border>
    <border>
      <left/>
      <right/>
      <top style="medium">
        <color theme="7" tint="0.39994506668294322"/>
      </top>
      <bottom/>
      <diagonal/>
    </border>
    <border>
      <left/>
      <right style="medium">
        <color theme="7" tint="0.39994506668294322"/>
      </right>
      <top style="medium">
        <color theme="7" tint="0.39994506668294322"/>
      </top>
      <bottom/>
      <diagonal/>
    </border>
    <border>
      <left style="medium">
        <color theme="7" tint="0.39994506668294322"/>
      </left>
      <right/>
      <top/>
      <bottom/>
      <diagonal/>
    </border>
    <border>
      <left/>
      <right style="medium">
        <color theme="7" tint="0.39994506668294322"/>
      </right>
      <top/>
      <bottom/>
      <diagonal/>
    </border>
    <border>
      <left style="medium">
        <color theme="7" tint="0.39994506668294322"/>
      </left>
      <right/>
      <top/>
      <bottom style="medium">
        <color theme="7" tint="0.39994506668294322"/>
      </bottom>
      <diagonal/>
    </border>
    <border>
      <left/>
      <right/>
      <top/>
      <bottom style="medium">
        <color theme="7" tint="0.39994506668294322"/>
      </bottom>
      <diagonal/>
    </border>
    <border>
      <left/>
      <right style="medium">
        <color theme="7" tint="0.39994506668294322"/>
      </right>
      <top/>
      <bottom style="medium">
        <color theme="7" tint="0.39994506668294322"/>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medium">
        <color indexed="64"/>
      </right>
      <top style="thin">
        <color theme="0" tint="-0.24994659260841701"/>
      </top>
      <bottom/>
      <diagonal/>
    </border>
    <border>
      <left style="thin">
        <color theme="0" tint="-0.24994659260841701"/>
      </left>
      <right/>
      <top/>
      <bottom style="thin">
        <color theme="0" tint="-0.24994659260841701"/>
      </bottom>
      <diagonal/>
    </border>
    <border>
      <left style="thin">
        <color auto="1"/>
      </left>
      <right/>
      <top style="thin">
        <color theme="0"/>
      </top>
      <bottom/>
      <diagonal/>
    </border>
    <border>
      <left/>
      <right/>
      <top style="thin">
        <color theme="0"/>
      </top>
      <bottom/>
      <diagonal/>
    </border>
    <border>
      <left/>
      <right style="thin">
        <color auto="1"/>
      </right>
      <top style="thin">
        <color theme="0"/>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103">
    <xf numFmtId="0" fontId="0" fillId="0" borderId="0" xfId="0"/>
    <xf numFmtId="0" fontId="1" fillId="4" borderId="0" xfId="0" applyFont="1" applyFill="1"/>
    <xf numFmtId="0" fontId="0" fillId="0" borderId="3" xfId="0" applyBorder="1"/>
    <xf numFmtId="0" fontId="0" fillId="0" borderId="6" xfId="0" applyBorder="1"/>
    <xf numFmtId="164" fontId="1" fillId="4" borderId="0" xfId="0" applyNumberFormat="1" applyFont="1" applyFill="1"/>
    <xf numFmtId="0" fontId="0" fillId="0" borderId="0" xfId="0" applyProtection="1">
      <protection hidden="1"/>
    </xf>
    <xf numFmtId="0" fontId="0" fillId="0" borderId="0" xfId="0" applyNumberFormat="1" applyProtection="1">
      <protection hidden="1"/>
    </xf>
    <xf numFmtId="0" fontId="1" fillId="4" borderId="0" xfId="0" applyFont="1" applyFill="1" applyProtection="1"/>
    <xf numFmtId="0" fontId="3" fillId="2" borderId="2" xfId="0" applyFont="1" applyFill="1" applyBorder="1" applyAlignment="1" applyProtection="1">
      <alignment horizontal="center" vertical="center"/>
      <protection hidden="1"/>
    </xf>
    <xf numFmtId="0" fontId="4" fillId="4" borderId="0" xfId="0" applyFont="1" applyFill="1" applyProtection="1">
      <protection hidden="1"/>
    </xf>
    <xf numFmtId="0" fontId="4" fillId="4" borderId="0" xfId="0" applyFont="1" applyFill="1" applyAlignment="1" applyProtection="1">
      <alignment vertical="center"/>
      <protection hidden="1"/>
    </xf>
    <xf numFmtId="0" fontId="4" fillId="4" borderId="2" xfId="0" applyFont="1" applyFill="1" applyBorder="1" applyAlignment="1" applyProtection="1">
      <alignment horizontal="center" vertical="center"/>
      <protection hidden="1"/>
    </xf>
    <xf numFmtId="0" fontId="3" fillId="4" borderId="0" xfId="0" applyFont="1" applyFill="1" applyAlignment="1" applyProtection="1">
      <alignment horizontal="center" vertical="center"/>
      <protection hidden="1"/>
    </xf>
    <xf numFmtId="0" fontId="5" fillId="7" borderId="4" xfId="0" applyFont="1" applyFill="1" applyBorder="1" applyAlignment="1" applyProtection="1">
      <alignment horizontal="center" vertical="center"/>
      <protection hidden="1"/>
    </xf>
    <xf numFmtId="0" fontId="4" fillId="4" borderId="4" xfId="0" applyFont="1" applyFill="1" applyBorder="1" applyAlignment="1" applyProtection="1">
      <alignment horizontal="left" vertical="center"/>
      <protection hidden="1"/>
    </xf>
    <xf numFmtId="0" fontId="6" fillId="6" borderId="4" xfId="0" applyFont="1" applyFill="1" applyBorder="1" applyAlignment="1" applyProtection="1">
      <alignment horizontal="center" vertical="center"/>
      <protection hidden="1"/>
    </xf>
    <xf numFmtId="0" fontId="4" fillId="4" borderId="4" xfId="0" applyFont="1" applyFill="1" applyBorder="1" applyAlignment="1" applyProtection="1">
      <alignment horizontal="center" vertical="center"/>
      <protection hidden="1"/>
    </xf>
    <xf numFmtId="0" fontId="6" fillId="8" borderId="4" xfId="0" applyFont="1" applyFill="1" applyBorder="1" applyAlignment="1" applyProtection="1">
      <alignment horizontal="center" vertical="center"/>
      <protection hidden="1"/>
    </xf>
    <xf numFmtId="0" fontId="3" fillId="2" borderId="4" xfId="0" applyFont="1" applyFill="1" applyBorder="1" applyAlignment="1" applyProtection="1">
      <alignment horizontal="center" vertical="center"/>
      <protection hidden="1"/>
    </xf>
    <xf numFmtId="0" fontId="3" fillId="10" borderId="4" xfId="0" applyFont="1" applyFill="1" applyBorder="1" applyAlignment="1" applyProtection="1">
      <alignment horizontal="center"/>
      <protection hidden="1"/>
    </xf>
    <xf numFmtId="0" fontId="4" fillId="10" borderId="4" xfId="0" applyFont="1" applyFill="1" applyBorder="1" applyAlignment="1" applyProtection="1">
      <alignment horizontal="center" vertical="center"/>
      <protection hidden="1"/>
    </xf>
    <xf numFmtId="0" fontId="0" fillId="11" borderId="0" xfId="0" applyFill="1" applyProtection="1">
      <protection locked="0"/>
    </xf>
    <xf numFmtId="20" fontId="0" fillId="11" borderId="0" xfId="0" applyNumberFormat="1" applyFill="1" applyProtection="1">
      <protection locked="0"/>
    </xf>
    <xf numFmtId="18" fontId="0" fillId="11" borderId="0" xfId="0" applyNumberFormat="1" applyFill="1" applyProtection="1">
      <protection locked="0"/>
    </xf>
    <xf numFmtId="0" fontId="1" fillId="4" borderId="0" xfId="0" applyFont="1" applyFill="1" applyProtection="1">
      <protection hidden="1"/>
    </xf>
    <xf numFmtId="0" fontId="0" fillId="0" borderId="1" xfId="0" applyBorder="1" applyAlignment="1" applyProtection="1">
      <alignment horizontal="center" vertical="center"/>
      <protection hidden="1"/>
    </xf>
    <xf numFmtId="0" fontId="0" fillId="0" borderId="1" xfId="0" applyBorder="1" applyProtection="1">
      <protection hidden="1"/>
    </xf>
    <xf numFmtId="2" fontId="4" fillId="4" borderId="4" xfId="0" applyNumberFormat="1" applyFont="1" applyFill="1" applyBorder="1" applyAlignment="1" applyProtection="1">
      <alignment horizontal="center" vertical="center"/>
      <protection hidden="1"/>
    </xf>
    <xf numFmtId="0" fontId="3" fillId="2" borderId="11" xfId="0" applyFont="1" applyFill="1" applyBorder="1" applyAlignment="1" applyProtection="1">
      <alignment horizontal="center" vertical="center"/>
      <protection hidden="1"/>
    </xf>
    <xf numFmtId="0" fontId="4" fillId="4" borderId="12" xfId="0" applyFont="1" applyFill="1" applyBorder="1" applyAlignment="1" applyProtection="1">
      <alignment horizontal="center" vertical="center"/>
      <protection hidden="1"/>
    </xf>
    <xf numFmtId="0" fontId="10" fillId="4" borderId="0" xfId="0" applyFont="1" applyFill="1"/>
    <xf numFmtId="0" fontId="0" fillId="12" borderId="0" xfId="0" applyFill="1"/>
    <xf numFmtId="0" fontId="0" fillId="12" borderId="0" xfId="0" applyFill="1" applyBorder="1"/>
    <xf numFmtId="0" fontId="0" fillId="12" borderId="13" xfId="0" applyFill="1" applyBorder="1"/>
    <xf numFmtId="0" fontId="0" fillId="12" borderId="14" xfId="0" applyFill="1" applyBorder="1"/>
    <xf numFmtId="0" fontId="0" fillId="12" borderId="15" xfId="0" applyFill="1" applyBorder="1"/>
    <xf numFmtId="0" fontId="0" fillId="12" borderId="16" xfId="0" applyFill="1" applyBorder="1"/>
    <xf numFmtId="0" fontId="0" fillId="12" borderId="17" xfId="0" applyFill="1" applyBorder="1"/>
    <xf numFmtId="0" fontId="0" fillId="12" borderId="18" xfId="0" applyFill="1" applyBorder="1"/>
    <xf numFmtId="0" fontId="0" fillId="12" borderId="19" xfId="0" applyFill="1" applyBorder="1"/>
    <xf numFmtId="0" fontId="0" fillId="12" borderId="20" xfId="0" applyFill="1" applyBorder="1"/>
    <xf numFmtId="0" fontId="1" fillId="12" borderId="0" xfId="0" applyFont="1" applyFill="1"/>
    <xf numFmtId="0" fontId="11" fillId="12" borderId="0" xfId="0" applyFont="1" applyFill="1"/>
    <xf numFmtId="166" fontId="9" fillId="12" borderId="0" xfId="0" applyNumberFormat="1" applyFont="1" applyFill="1" applyAlignment="1">
      <alignment horizontal="left"/>
    </xf>
    <xf numFmtId="0" fontId="1" fillId="12" borderId="0" xfId="0" applyFont="1" applyFill="1"/>
    <xf numFmtId="0" fontId="0" fillId="12" borderId="0" xfId="0" applyFill="1" applyAlignment="1">
      <alignment horizontal="left" vertical="center"/>
    </xf>
    <xf numFmtId="0" fontId="4" fillId="12" borderId="0" xfId="0" applyFont="1" applyFill="1"/>
    <xf numFmtId="0" fontId="12" fillId="12" borderId="0" xfId="0" applyFont="1" applyFill="1"/>
    <xf numFmtId="0" fontId="3" fillId="12" borderId="0" xfId="0" applyFont="1" applyFill="1"/>
    <xf numFmtId="0" fontId="1" fillId="0" borderId="0" xfId="0" applyFont="1"/>
    <xf numFmtId="0" fontId="1" fillId="0" borderId="8" xfId="0" applyFont="1" applyBorder="1"/>
    <xf numFmtId="0" fontId="1" fillId="0" borderId="9" xfId="0" applyFont="1" applyBorder="1"/>
    <xf numFmtId="0" fontId="1" fillId="0" borderId="10" xfId="0" applyFont="1" applyBorder="1"/>
    <xf numFmtId="0" fontId="9" fillId="12" borderId="0" xfId="0" applyFont="1" applyFill="1"/>
    <xf numFmtId="0" fontId="3" fillId="2" borderId="2" xfId="0" applyFont="1" applyFill="1" applyBorder="1" applyAlignment="1" applyProtection="1">
      <alignment horizontal="center" vertical="center" wrapText="1"/>
      <protection locked="0"/>
    </xf>
    <xf numFmtId="0" fontId="3" fillId="2" borderId="2" xfId="0" applyFont="1" applyFill="1" applyBorder="1" applyAlignment="1" applyProtection="1">
      <alignment horizontal="center" vertical="center" wrapText="1"/>
    </xf>
    <xf numFmtId="165" fontId="13" fillId="2" borderId="2" xfId="0" applyNumberFormat="1" applyFont="1" applyFill="1" applyBorder="1" applyAlignment="1" applyProtection="1">
      <alignment vertical="center"/>
      <protection locked="0"/>
    </xf>
    <xf numFmtId="0" fontId="13" fillId="2" borderId="2" xfId="0" applyFont="1" applyFill="1" applyBorder="1" applyAlignment="1" applyProtection="1">
      <alignment vertical="center"/>
      <protection locked="0"/>
    </xf>
    <xf numFmtId="0" fontId="13" fillId="2" borderId="2" xfId="0" applyNumberFormat="1" applyFont="1" applyFill="1" applyBorder="1" applyAlignment="1" applyProtection="1">
      <alignment vertical="center"/>
      <protection hidden="1"/>
    </xf>
    <xf numFmtId="165" fontId="3" fillId="11" borderId="2" xfId="0" applyNumberFormat="1" applyFont="1" applyFill="1" applyBorder="1" applyAlignment="1" applyProtection="1">
      <alignment vertical="center"/>
      <protection locked="0"/>
    </xf>
    <xf numFmtId="0" fontId="3" fillId="11" borderId="2" xfId="0" applyFont="1" applyFill="1" applyBorder="1" applyAlignment="1" applyProtection="1">
      <alignment vertical="center"/>
      <protection locked="0"/>
    </xf>
    <xf numFmtId="0" fontId="14" fillId="11" borderId="2" xfId="0" applyNumberFormat="1" applyFont="1" applyFill="1" applyBorder="1" applyAlignment="1" applyProtection="1">
      <alignment vertical="center"/>
      <protection hidden="1"/>
    </xf>
    <xf numFmtId="3" fontId="3" fillId="11" borderId="2" xfId="0" applyNumberFormat="1" applyFont="1" applyFill="1" applyBorder="1" applyAlignment="1" applyProtection="1">
      <alignment vertical="center"/>
      <protection locked="0"/>
    </xf>
    <xf numFmtId="0" fontId="5" fillId="7" borderId="21" xfId="0" applyFont="1" applyFill="1" applyBorder="1" applyAlignment="1" applyProtection="1">
      <alignment horizontal="center" vertical="center"/>
      <protection hidden="1"/>
    </xf>
    <xf numFmtId="0" fontId="4" fillId="4" borderId="21" xfId="0" applyFont="1" applyFill="1" applyBorder="1" applyAlignment="1" applyProtection="1">
      <alignment horizontal="left" vertical="center"/>
      <protection hidden="1"/>
    </xf>
    <xf numFmtId="0" fontId="3" fillId="10" borderId="21" xfId="0" applyFont="1" applyFill="1" applyBorder="1" applyAlignment="1" applyProtection="1">
      <alignment horizontal="center"/>
      <protection hidden="1"/>
    </xf>
    <xf numFmtId="0" fontId="5" fillId="7" borderId="22" xfId="0" applyFont="1" applyFill="1" applyBorder="1" applyAlignment="1" applyProtection="1">
      <alignment horizontal="center" vertical="center" wrapText="1"/>
      <protection hidden="1"/>
    </xf>
    <xf numFmtId="0" fontId="5" fillId="7" borderId="23" xfId="0" applyFont="1" applyFill="1" applyBorder="1" applyAlignment="1" applyProtection="1">
      <alignment horizontal="center" vertical="center" wrapText="1"/>
      <protection hidden="1"/>
    </xf>
    <xf numFmtId="0" fontId="5" fillId="7" borderId="24" xfId="0" applyFont="1" applyFill="1" applyBorder="1" applyAlignment="1" applyProtection="1">
      <alignment horizontal="center" vertical="center" wrapText="1"/>
      <protection hidden="1"/>
    </xf>
    <xf numFmtId="0" fontId="3" fillId="10" borderId="25" xfId="0" applyFont="1" applyFill="1" applyBorder="1" applyAlignment="1" applyProtection="1">
      <alignment horizontal="center"/>
      <protection hidden="1"/>
    </xf>
    <xf numFmtId="4" fontId="10" fillId="8" borderId="1" xfId="0" applyNumberFormat="1" applyFont="1" applyFill="1" applyBorder="1"/>
    <xf numFmtId="0" fontId="10" fillId="4" borderId="26" xfId="0" applyFont="1" applyFill="1" applyBorder="1"/>
    <xf numFmtId="0" fontId="10" fillId="4" borderId="27" xfId="0" applyFont="1" applyFill="1" applyBorder="1"/>
    <xf numFmtId="0" fontId="10" fillId="4" borderId="28" xfId="0" applyFont="1" applyFill="1" applyBorder="1"/>
    <xf numFmtId="0" fontId="10" fillId="4" borderId="29" xfId="0" applyFont="1" applyFill="1" applyBorder="1"/>
    <xf numFmtId="0" fontId="10" fillId="4" borderId="0" xfId="0" applyFont="1" applyFill="1" applyBorder="1"/>
    <xf numFmtId="0" fontId="10" fillId="4" borderId="30" xfId="0" applyFont="1" applyFill="1" applyBorder="1"/>
    <xf numFmtId="0" fontId="10" fillId="4" borderId="29" xfId="0" applyFont="1" applyFill="1" applyBorder="1" applyProtection="1">
      <protection hidden="1"/>
    </xf>
    <xf numFmtId="0" fontId="10" fillId="4" borderId="0" xfId="0" applyFont="1" applyFill="1" applyBorder="1" applyProtection="1">
      <protection hidden="1"/>
    </xf>
    <xf numFmtId="0" fontId="10" fillId="4" borderId="30" xfId="0" applyFont="1" applyFill="1" applyBorder="1" applyProtection="1">
      <protection hidden="1"/>
    </xf>
    <xf numFmtId="20" fontId="10" fillId="4" borderId="31" xfId="0" applyNumberFormat="1" applyFont="1" applyFill="1" applyBorder="1" applyProtection="1">
      <protection hidden="1"/>
    </xf>
    <xf numFmtId="0" fontId="10" fillId="4" borderId="3" xfId="0" applyFont="1" applyFill="1" applyBorder="1" applyProtection="1">
      <protection hidden="1"/>
    </xf>
    <xf numFmtId="0" fontId="10" fillId="4" borderId="3" xfId="0" applyFont="1" applyFill="1" applyBorder="1"/>
    <xf numFmtId="0" fontId="10" fillId="4" borderId="32" xfId="0" applyFont="1" applyFill="1" applyBorder="1" applyProtection="1">
      <protection hidden="1"/>
    </xf>
    <xf numFmtId="4" fontId="3" fillId="11" borderId="2" xfId="0" applyNumberFormat="1" applyFont="1" applyFill="1" applyBorder="1" applyAlignment="1" applyProtection="1">
      <alignment vertical="center"/>
      <protection locked="0"/>
    </xf>
    <xf numFmtId="0" fontId="0" fillId="12" borderId="0" xfId="0" applyFill="1" applyProtection="1"/>
    <xf numFmtId="0" fontId="2" fillId="7" borderId="0" xfId="0" applyFont="1" applyFill="1" applyAlignment="1" applyProtection="1">
      <alignment horizontal="center" vertical="center"/>
    </xf>
    <xf numFmtId="0" fontId="4" fillId="4" borderId="0" xfId="0" applyFont="1" applyFill="1" applyBorder="1" applyAlignment="1" applyProtection="1">
      <alignment horizontal="center" vertical="center"/>
      <protection hidden="1"/>
    </xf>
    <xf numFmtId="2" fontId="3" fillId="10" borderId="25" xfId="0" applyNumberFormat="1" applyFont="1" applyFill="1" applyBorder="1" applyAlignment="1" applyProtection="1">
      <alignment horizontal="center"/>
      <protection hidden="1"/>
    </xf>
    <xf numFmtId="4" fontId="10" fillId="8" borderId="1" xfId="0" applyNumberFormat="1" applyFont="1" applyFill="1" applyBorder="1" applyAlignment="1">
      <alignment horizontal="center"/>
    </xf>
    <xf numFmtId="4" fontId="10" fillId="4" borderId="32" xfId="0" applyNumberFormat="1" applyFont="1" applyFill="1" applyBorder="1" applyProtection="1">
      <protection hidden="1"/>
    </xf>
    <xf numFmtId="4" fontId="10" fillId="13" borderId="1" xfId="0" applyNumberFormat="1" applyFont="1" applyFill="1" applyBorder="1" applyAlignment="1">
      <alignment horizontal="center"/>
    </xf>
    <xf numFmtId="0" fontId="1" fillId="12" borderId="0" xfId="0" applyFont="1" applyFill="1"/>
    <xf numFmtId="0" fontId="4" fillId="12" borderId="0" xfId="0" applyFont="1" applyFill="1" applyAlignment="1">
      <alignment horizontal="left" vertical="center" wrapText="1"/>
    </xf>
    <xf numFmtId="0" fontId="1" fillId="12" borderId="0" xfId="0" applyFont="1" applyFill="1" applyAlignment="1">
      <alignment wrapText="1"/>
    </xf>
    <xf numFmtId="0" fontId="3" fillId="5" borderId="5" xfId="0" applyFont="1" applyFill="1" applyBorder="1" applyAlignment="1" applyProtection="1">
      <alignment horizontal="center" vertical="center"/>
      <protection hidden="1"/>
    </xf>
    <xf numFmtId="0" fontId="3" fillId="5" borderId="6" xfId="0" applyFont="1" applyFill="1" applyBorder="1" applyAlignment="1" applyProtection="1">
      <alignment horizontal="center" vertical="center"/>
      <protection hidden="1"/>
    </xf>
    <xf numFmtId="0" fontId="3" fillId="5" borderId="7" xfId="0" applyFont="1" applyFill="1" applyBorder="1" applyAlignment="1" applyProtection="1">
      <alignment horizontal="center" vertical="center"/>
      <protection hidden="1"/>
    </xf>
    <xf numFmtId="0" fontId="3" fillId="3" borderId="5" xfId="0" applyFont="1" applyFill="1" applyBorder="1" applyAlignment="1" applyProtection="1">
      <alignment horizontal="center" vertical="center"/>
      <protection hidden="1"/>
    </xf>
    <xf numFmtId="0" fontId="3" fillId="3" borderId="6" xfId="0" applyFont="1" applyFill="1" applyBorder="1" applyAlignment="1" applyProtection="1">
      <alignment horizontal="center" vertical="center"/>
      <protection hidden="1"/>
    </xf>
    <xf numFmtId="0" fontId="2" fillId="7" borderId="0" xfId="0" applyFont="1" applyFill="1" applyAlignment="1" applyProtection="1">
      <alignment horizontal="center" vertical="center"/>
    </xf>
    <xf numFmtId="4" fontId="7" fillId="9" borderId="0" xfId="0" applyNumberFormat="1" applyFont="1" applyFill="1" applyBorder="1" applyAlignment="1" applyProtection="1">
      <alignment horizontal="center" vertical="center"/>
      <protection hidden="1"/>
    </xf>
    <xf numFmtId="0" fontId="3" fillId="3" borderId="7" xfId="0" applyFont="1" applyFill="1" applyBorder="1" applyAlignment="1" applyProtection="1">
      <alignment horizontal="center" vertical="center"/>
      <protection hidden="1"/>
    </xf>
  </cellXfs>
  <cellStyles count="1">
    <cellStyle name="Normal" xfId="0" builtinId="0"/>
  </cellStyles>
  <dxfs count="69">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font>
        <b val="0"/>
        <i val="0"/>
        <strike val="0"/>
        <condense val="0"/>
        <extend val="0"/>
        <outline val="0"/>
        <shadow val="0"/>
        <u val="none"/>
        <vertAlign val="baseline"/>
        <sz val="10"/>
        <color theme="0"/>
        <name val="Calibri"/>
        <scheme val="minor"/>
      </font>
      <fill>
        <patternFill patternType="solid">
          <fgColor indexed="64"/>
          <bgColor theme="1" tint="0.14996795556505021"/>
        </patternFill>
      </fill>
      <alignment horizontal="center" vertical="center" textRotation="0" wrapText="0" indent="0" justifyLastLine="0" shrinkToFit="0" readingOrder="0"/>
      <border diagonalUp="0" diagonalDown="0">
        <left/>
        <right/>
        <top style="thin">
          <color theme="0" tint="-0.34998626667073579"/>
        </top>
        <bottom/>
        <vertical/>
        <horizontal/>
      </border>
      <protection locked="1" hidden="1"/>
    </dxf>
    <dxf>
      <border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0"/>
        <name val="Calibri"/>
        <scheme val="minor"/>
      </font>
      <fill>
        <patternFill patternType="solid">
          <fgColor indexed="64"/>
          <bgColor theme="1" tint="0.14996795556505021"/>
        </patternFill>
      </fill>
      <alignment horizontal="center" vertical="center" textRotation="0" wrapText="0" indent="0" justifyLastLine="0" shrinkToFit="0" readingOrder="0"/>
      <protection locked="1" hidden="1"/>
    </dxf>
    <dxf>
      <border outline="0">
        <bottom style="thin">
          <color theme="0" tint="-0.34998626667073579"/>
        </bottom>
      </border>
    </dxf>
    <dxf>
      <font>
        <b/>
        <i val="0"/>
        <strike val="0"/>
        <condense val="0"/>
        <extend val="0"/>
        <outline val="0"/>
        <shadow val="0"/>
        <u val="none"/>
        <vertAlign val="baseline"/>
        <sz val="10"/>
        <color theme="0"/>
        <name val="Calibri"/>
        <scheme val="minor"/>
      </font>
      <fill>
        <patternFill patternType="solid">
          <fgColor indexed="64"/>
          <bgColor theme="5" tint="-0.249977111117893"/>
        </patternFill>
      </fill>
      <alignment horizontal="center" vertical="center" textRotation="0" wrapText="0" indent="0" justifyLastLine="0" shrinkToFit="0" readingOrder="0"/>
      <protection locked="1" hidden="1"/>
    </dxf>
    <dxf>
      <border diagonalUp="0" diagonalDown="0">
        <left/>
        <right/>
        <top style="thin">
          <color indexed="64"/>
        </top>
        <bottom/>
        <vertical/>
        <horizontal/>
      </border>
    </dxf>
    <dxf>
      <border outline="0">
        <top style="thin">
          <color indexed="64"/>
        </top>
      </border>
    </dxf>
    <dxf>
      <border outline="0">
        <left style="medium">
          <color indexed="64"/>
        </left>
        <right style="medium">
          <color indexed="64"/>
        </right>
        <top style="medium">
          <color indexed="64"/>
        </top>
        <bottom style="medium">
          <color indexed="64"/>
        </bottom>
      </border>
    </dxf>
    <dxf>
      <border outline="0">
        <bottom style="thin">
          <color indexed="64"/>
        </bottom>
      </border>
    </dxf>
    <dxf>
      <protection locked="1" hidden="1"/>
    </dxf>
    <dxf>
      <protection locked="1" hidden="1"/>
    </dxf>
    <dxf>
      <protection locked="1" hidden="1"/>
    </dxf>
    <dxf>
      <protection locked="1" hidden="1"/>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9" tint="-0.24994659260841701"/>
      </font>
      <fill>
        <patternFill>
          <bgColor theme="9" tint="0.79998168889431442"/>
        </patternFill>
      </fill>
    </dxf>
    <dxf>
      <font>
        <color theme="5" tint="-0.24994659260841701"/>
      </font>
      <fill>
        <patternFill>
          <bgColor theme="7" tint="0.79998168889431442"/>
        </patternFill>
      </fill>
    </dxf>
    <dxf>
      <font>
        <color rgb="FF006100"/>
      </font>
      <fill>
        <patternFill>
          <bgColor rgb="FFC6EFCE"/>
        </patternFill>
      </fill>
    </dxf>
    <dxf>
      <font>
        <color rgb="FF9C0006"/>
      </font>
      <fill>
        <patternFill>
          <bgColor rgb="FFFFC7CE"/>
        </patternFill>
      </fill>
    </dxf>
    <dxf>
      <font>
        <color theme="5" tint="-0.24994659260841701"/>
      </font>
      <fill>
        <patternFill>
          <bgColor theme="7" tint="0.79998168889431442"/>
        </patternFill>
      </fill>
    </dxf>
    <dxf>
      <font>
        <color theme="9" tint="-0.24994659260841701"/>
      </font>
      <fill>
        <patternFill>
          <bgColor theme="9" tint="0.79998168889431442"/>
        </patternFill>
      </fill>
    </dxf>
    <dxf>
      <font>
        <color rgb="FF006100"/>
      </font>
      <fill>
        <patternFill>
          <bgColor rgb="FFC6EFCE"/>
        </patternFill>
      </fill>
    </dxf>
    <dxf>
      <font>
        <color rgb="FF9C0006"/>
      </font>
      <fill>
        <patternFill>
          <bgColor rgb="FFFFC7CE"/>
        </patternFill>
      </fill>
    </dxf>
    <dxf>
      <font>
        <color theme="9" tint="-0.24994659260841701"/>
      </font>
      <fill>
        <patternFill>
          <bgColor theme="9" tint="0.79998168889431442"/>
        </patternFill>
      </fill>
    </dxf>
    <dxf>
      <font>
        <color theme="5" tint="-0.24994659260841701"/>
      </font>
      <fill>
        <patternFill>
          <bgColor theme="7" tint="0.79998168889431442"/>
        </patternFill>
      </fill>
    </dxf>
    <dxf>
      <font>
        <color rgb="FF006100"/>
      </font>
      <fill>
        <patternFill>
          <bgColor rgb="FFC6EFCE"/>
        </patternFill>
      </fill>
    </dxf>
    <dxf>
      <font>
        <color rgb="FF9C0006"/>
      </font>
      <fill>
        <patternFill>
          <bgColor rgb="FFFFC7CE"/>
        </patternFill>
      </fill>
    </dxf>
    <dxf>
      <font>
        <color theme="5" tint="-0.24994659260841701"/>
      </font>
      <fill>
        <patternFill>
          <bgColor theme="7" tint="0.79998168889431442"/>
        </patternFill>
      </fill>
    </dxf>
    <dxf>
      <font>
        <color theme="9" tint="-0.24994659260841701"/>
      </font>
      <fill>
        <patternFill>
          <bgColor theme="9" tint="0.79998168889431442"/>
        </patternFill>
      </fill>
    </dxf>
  </dxfs>
  <tableStyles count="0" defaultTableStyle="TableStyleMedium2" defaultPivotStyle="PivotStyleLight16"/>
  <colors>
    <mruColors>
      <color rgb="FF00CC00"/>
      <color rgb="FFF9F9F9"/>
      <color rgb="FF292929"/>
      <color rgb="FFCC0000"/>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Nifty OI Build</a:t>
            </a:r>
            <a:r>
              <a:rPr lang="en-IN" baseline="0"/>
              <a:t> </a:t>
            </a:r>
            <a:r>
              <a:rPr lang="en-IN"/>
              <a:t>Up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8.8841180566714875E-2"/>
          <c:y val="0.15986111111111112"/>
          <c:w val="0.86762140446729874"/>
          <c:h val="0.53890857392825897"/>
        </c:manualLayout>
      </c:layout>
      <c:barChart>
        <c:barDir val="col"/>
        <c:grouping val="clustered"/>
        <c:varyColors val="0"/>
        <c:ser>
          <c:idx val="0"/>
          <c:order val="0"/>
          <c:tx>
            <c:v>CALL OI</c:v>
          </c:tx>
          <c:spPr>
            <a:solidFill>
              <a:srgbClr val="CC0000"/>
            </a:solidFill>
            <a:ln>
              <a:noFill/>
            </a:ln>
            <a:effectLst/>
          </c:spPr>
          <c:invertIfNegative val="1"/>
          <c:cat>
            <c:numRef>
              <c:f>'NIFTY OI Analysis'!$I$9:$I$21</c:f>
              <c:numCache>
                <c:formatCode>General</c:formatCode>
                <c:ptCount val="13"/>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numCache>
            </c:numRef>
          </c:cat>
          <c:val>
            <c:numRef>
              <c:f>'NIFTY OI Analysis'!$C$9:$C$21</c:f>
              <c:numCache>
                <c:formatCode>General</c:formatCode>
                <c:ptCount val="13"/>
                <c:pt idx="0">
                  <c:v>4900</c:v>
                </c:pt>
                <c:pt idx="1">
                  <c:v>922</c:v>
                </c:pt>
                <c:pt idx="2">
                  <c:v>25720</c:v>
                </c:pt>
                <c:pt idx="3">
                  <c:v>3487</c:v>
                </c:pt>
                <c:pt idx="4">
                  <c:v>28641</c:v>
                </c:pt>
                <c:pt idx="5">
                  <c:v>15794</c:v>
                </c:pt>
                <c:pt idx="6">
                  <c:v>95722</c:v>
                </c:pt>
                <c:pt idx="7">
                  <c:v>29814</c:v>
                </c:pt>
                <c:pt idx="8">
                  <c:v>117090</c:v>
                </c:pt>
                <c:pt idx="9">
                  <c:v>21593</c:v>
                </c:pt>
                <c:pt idx="10">
                  <c:v>59476</c:v>
                </c:pt>
                <c:pt idx="11">
                  <c:v>27482</c:v>
                </c:pt>
                <c:pt idx="12">
                  <c:v>100288</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8A36-47A2-94B2-9E916C696C82}"/>
            </c:ext>
          </c:extLst>
        </c:ser>
        <c:ser>
          <c:idx val="1"/>
          <c:order val="1"/>
          <c:tx>
            <c:v>PUT OI</c:v>
          </c:tx>
          <c:spPr>
            <a:solidFill>
              <a:srgbClr val="548235"/>
            </a:solidFill>
            <a:ln>
              <a:noFill/>
            </a:ln>
            <a:effectLst/>
          </c:spPr>
          <c:invertIfNegative val="1"/>
          <c:cat>
            <c:numRef>
              <c:f>'NIFTY OI Analysis'!$I$9:$I$21</c:f>
              <c:numCache>
                <c:formatCode>General</c:formatCode>
                <c:ptCount val="13"/>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numCache>
            </c:numRef>
          </c:cat>
          <c:val>
            <c:numRef>
              <c:f>'NIFTY OI Analysis'!$O$9:$O$21</c:f>
              <c:numCache>
                <c:formatCode>General</c:formatCode>
                <c:ptCount val="13"/>
                <c:pt idx="0">
                  <c:v>62122</c:v>
                </c:pt>
                <c:pt idx="1">
                  <c:v>18334</c:v>
                </c:pt>
                <c:pt idx="2">
                  <c:v>85104</c:v>
                </c:pt>
                <c:pt idx="3">
                  <c:v>32454</c:v>
                </c:pt>
                <c:pt idx="4">
                  <c:v>73029</c:v>
                </c:pt>
                <c:pt idx="5">
                  <c:v>26595</c:v>
                </c:pt>
                <c:pt idx="6">
                  <c:v>59482</c:v>
                </c:pt>
                <c:pt idx="7">
                  <c:v>5945</c:v>
                </c:pt>
                <c:pt idx="8">
                  <c:v>18079</c:v>
                </c:pt>
                <c:pt idx="9">
                  <c:v>1675</c:v>
                </c:pt>
                <c:pt idx="10">
                  <c:v>4735</c:v>
                </c:pt>
                <c:pt idx="11">
                  <c:v>834</c:v>
                </c:pt>
                <c:pt idx="12">
                  <c:v>3780</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8A36-47A2-94B2-9E916C696C82}"/>
            </c:ext>
          </c:extLst>
        </c:ser>
        <c:dLbls>
          <c:showLegendKey val="0"/>
          <c:showVal val="0"/>
          <c:showCatName val="0"/>
          <c:showSerName val="0"/>
          <c:showPercent val="0"/>
          <c:showBubbleSize val="0"/>
        </c:dLbls>
        <c:gapWidth val="100"/>
        <c:overlap val="-24"/>
        <c:axId val="953719232"/>
        <c:axId val="953719560"/>
      </c:barChart>
      <c:catAx>
        <c:axId val="9537192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330000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953719560"/>
        <c:crosses val="autoZero"/>
        <c:auto val="1"/>
        <c:lblAlgn val="ctr"/>
        <c:lblOffset val="100"/>
        <c:noMultiLvlLbl val="0"/>
      </c:catAx>
      <c:valAx>
        <c:axId val="95371956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5371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Banknifty</a:t>
            </a:r>
            <a:r>
              <a:rPr lang="en-IN" baseline="0"/>
              <a:t> </a:t>
            </a:r>
            <a:r>
              <a:rPr lang="en-IN"/>
              <a:t>OI Build Up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8.8841180566714875E-2"/>
          <c:y val="0.15986111111111112"/>
          <c:w val="0.86762140446729874"/>
          <c:h val="0.53890857392825897"/>
        </c:manualLayout>
      </c:layout>
      <c:barChart>
        <c:barDir val="col"/>
        <c:grouping val="clustered"/>
        <c:varyColors val="0"/>
        <c:ser>
          <c:idx val="0"/>
          <c:order val="0"/>
          <c:tx>
            <c:v>CALL OI</c:v>
          </c:tx>
          <c:spPr>
            <a:solidFill>
              <a:srgbClr val="CC0000"/>
            </a:solidFill>
            <a:ln>
              <a:noFill/>
            </a:ln>
            <a:effectLst/>
          </c:spPr>
          <c:invertIfNegative val="1"/>
          <c:cat>
            <c:numRef>
              <c:f>'BANK NIFTY OI Analysis'!$I$9:$I$21</c:f>
              <c:numCache>
                <c:formatCode>General</c:formatCode>
                <c:ptCount val="13"/>
                <c:pt idx="0">
                  <c:v>36000</c:v>
                </c:pt>
                <c:pt idx="1">
                  <c:v>36500</c:v>
                </c:pt>
                <c:pt idx="2">
                  <c:v>37000</c:v>
                </c:pt>
                <c:pt idx="3">
                  <c:v>37500</c:v>
                </c:pt>
                <c:pt idx="4">
                  <c:v>38000</c:v>
                </c:pt>
                <c:pt idx="5">
                  <c:v>38500</c:v>
                </c:pt>
                <c:pt idx="6">
                  <c:v>39000</c:v>
                </c:pt>
                <c:pt idx="7">
                  <c:v>39500</c:v>
                </c:pt>
                <c:pt idx="8">
                  <c:v>40000</c:v>
                </c:pt>
                <c:pt idx="9">
                  <c:v>40500</c:v>
                </c:pt>
                <c:pt idx="10">
                  <c:v>41000</c:v>
                </c:pt>
                <c:pt idx="11">
                  <c:v>41500</c:v>
                </c:pt>
                <c:pt idx="12">
                  <c:v>42000</c:v>
                </c:pt>
              </c:numCache>
            </c:numRef>
          </c:cat>
          <c:val>
            <c:numRef>
              <c:f>'BANK NIFTY OI Analysis'!$C$9:$C$21</c:f>
              <c:numCache>
                <c:formatCode>General</c:formatCode>
                <c:ptCount val="13"/>
                <c:pt idx="0">
                  <c:v>477</c:v>
                </c:pt>
                <c:pt idx="1">
                  <c:v>412</c:v>
                </c:pt>
                <c:pt idx="2">
                  <c:v>1133</c:v>
                </c:pt>
                <c:pt idx="3">
                  <c:v>2252</c:v>
                </c:pt>
                <c:pt idx="4">
                  <c:v>8660</c:v>
                </c:pt>
                <c:pt idx="5">
                  <c:v>12139</c:v>
                </c:pt>
                <c:pt idx="6">
                  <c:v>74064</c:v>
                </c:pt>
                <c:pt idx="7">
                  <c:v>70508</c:v>
                </c:pt>
                <c:pt idx="8">
                  <c:v>75563</c:v>
                </c:pt>
                <c:pt idx="9">
                  <c:v>44054</c:v>
                </c:pt>
                <c:pt idx="10">
                  <c:v>45969</c:v>
                </c:pt>
                <c:pt idx="11">
                  <c:v>30220</c:v>
                </c:pt>
                <c:pt idx="12">
                  <c:v>19193</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7670-45E7-B37B-3E0969F565C8}"/>
            </c:ext>
          </c:extLst>
        </c:ser>
        <c:ser>
          <c:idx val="1"/>
          <c:order val="1"/>
          <c:tx>
            <c:v>PUT OI</c:v>
          </c:tx>
          <c:spPr>
            <a:solidFill>
              <a:srgbClr val="548235"/>
            </a:solidFill>
            <a:ln>
              <a:noFill/>
            </a:ln>
            <a:effectLst/>
          </c:spPr>
          <c:invertIfNegative val="1"/>
          <c:cat>
            <c:numRef>
              <c:f>'BANK NIFTY OI Analysis'!$I$9:$I$21</c:f>
              <c:numCache>
                <c:formatCode>General</c:formatCode>
                <c:ptCount val="13"/>
                <c:pt idx="0">
                  <c:v>36000</c:v>
                </c:pt>
                <c:pt idx="1">
                  <c:v>36500</c:v>
                </c:pt>
                <c:pt idx="2">
                  <c:v>37000</c:v>
                </c:pt>
                <c:pt idx="3">
                  <c:v>37500</c:v>
                </c:pt>
                <c:pt idx="4">
                  <c:v>38000</c:v>
                </c:pt>
                <c:pt idx="5">
                  <c:v>38500</c:v>
                </c:pt>
                <c:pt idx="6">
                  <c:v>39000</c:v>
                </c:pt>
                <c:pt idx="7">
                  <c:v>39500</c:v>
                </c:pt>
                <c:pt idx="8">
                  <c:v>40000</c:v>
                </c:pt>
                <c:pt idx="9">
                  <c:v>40500</c:v>
                </c:pt>
                <c:pt idx="10">
                  <c:v>41000</c:v>
                </c:pt>
                <c:pt idx="11">
                  <c:v>41500</c:v>
                </c:pt>
                <c:pt idx="12">
                  <c:v>42000</c:v>
                </c:pt>
              </c:numCache>
            </c:numRef>
          </c:cat>
          <c:val>
            <c:numRef>
              <c:f>'BANK NIFTY OI Analysis'!$O$9:$O$21</c:f>
              <c:numCache>
                <c:formatCode>General</c:formatCode>
                <c:ptCount val="13"/>
                <c:pt idx="0">
                  <c:v>35823</c:v>
                </c:pt>
                <c:pt idx="1">
                  <c:v>27202</c:v>
                </c:pt>
                <c:pt idx="2">
                  <c:v>49203</c:v>
                </c:pt>
                <c:pt idx="3">
                  <c:v>52649</c:v>
                </c:pt>
                <c:pt idx="4">
                  <c:v>64634</c:v>
                </c:pt>
                <c:pt idx="5">
                  <c:v>55058</c:v>
                </c:pt>
                <c:pt idx="6">
                  <c:v>77709</c:v>
                </c:pt>
                <c:pt idx="7">
                  <c:v>4422</c:v>
                </c:pt>
                <c:pt idx="8">
                  <c:v>1559</c:v>
                </c:pt>
                <c:pt idx="9">
                  <c:v>297</c:v>
                </c:pt>
                <c:pt idx="10">
                  <c:v>22</c:v>
                </c:pt>
                <c:pt idx="11">
                  <c:v>3</c:v>
                </c:pt>
                <c:pt idx="12">
                  <c:v>6</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7670-45E7-B37B-3E0969F565C8}"/>
            </c:ext>
          </c:extLst>
        </c:ser>
        <c:dLbls>
          <c:showLegendKey val="0"/>
          <c:showVal val="0"/>
          <c:showCatName val="0"/>
          <c:showSerName val="0"/>
          <c:showPercent val="0"/>
          <c:showBubbleSize val="0"/>
        </c:dLbls>
        <c:gapWidth val="100"/>
        <c:overlap val="-24"/>
        <c:axId val="953719232"/>
        <c:axId val="953719560"/>
      </c:barChart>
      <c:catAx>
        <c:axId val="9537192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330000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953719560"/>
        <c:crosses val="autoZero"/>
        <c:auto val="1"/>
        <c:lblAlgn val="ctr"/>
        <c:lblOffset val="100"/>
        <c:noMultiLvlLbl val="0"/>
      </c:catAx>
      <c:valAx>
        <c:axId val="95371956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5371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Nifty Change in OI Difference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NIFTY</c:v>
          </c:tx>
          <c:spPr>
            <a:ln w="22225" cap="rnd">
              <a:solidFill>
                <a:schemeClr val="accent1"/>
              </a:solidFill>
              <a:round/>
            </a:ln>
            <a:effectLst/>
          </c:spPr>
          <c:marker>
            <c:symbol val="circle"/>
            <c:size val="3"/>
            <c:spPr>
              <a:solidFill>
                <a:schemeClr val="lt1"/>
              </a:solidFill>
              <a:ln w="15875">
                <a:solidFill>
                  <a:schemeClr val="accent1"/>
                </a:solidFill>
                <a:round/>
              </a:ln>
              <a:effectLst/>
            </c:spPr>
          </c:marker>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Trend'!$C$4:$C$40</c:f>
              <c:numCache>
                <c:formatCode>General</c:formatCode>
                <c:ptCount val="37"/>
                <c:pt idx="0">
                  <c:v>17615.150000000001</c:v>
                </c:pt>
                <c:pt idx="1">
                  <c:v>17608.95</c:v>
                </c:pt>
                <c:pt idx="2">
                  <c:v>17608.95</c:v>
                </c:pt>
                <c:pt idx="3">
                  <c:v>17644.900000000001</c:v>
                </c:pt>
                <c:pt idx="4">
                  <c:v>17644.900000000001</c:v>
                </c:pt>
                <c:pt idx="5">
                  <c:v>17656.900000000001</c:v>
                </c:pt>
                <c:pt idx="6">
                  <c:v>17656.900000000001</c:v>
                </c:pt>
                <c:pt idx="7">
                  <c:v>17652.8</c:v>
                </c:pt>
                <c:pt idx="8">
                  <c:v>17652.8</c:v>
                </c:pt>
                <c:pt idx="9">
                  <c:v>17673.95</c:v>
                </c:pt>
                <c:pt idx="10">
                  <c:v>17673.95</c:v>
                </c:pt>
                <c:pt idx="11">
                  <c:v>17665.45</c:v>
                </c:pt>
                <c:pt idx="12">
                  <c:v>17665.45</c:v>
                </c:pt>
                <c:pt idx="13">
                  <c:v>17663.8</c:v>
                </c:pt>
                <c:pt idx="14">
                  <c:v>17663.8</c:v>
                </c:pt>
                <c:pt idx="15">
                  <c:v>17675.400000000001</c:v>
                </c:pt>
                <c:pt idx="16">
                  <c:v>17675.400000000001</c:v>
                </c:pt>
                <c:pt idx="17">
                  <c:v>17683.150000000001</c:v>
                </c:pt>
                <c:pt idx="18">
                  <c:v>17683.150000000001</c:v>
                </c:pt>
                <c:pt idx="19">
                  <c:v>17675.2</c:v>
                </c:pt>
                <c:pt idx="20">
                  <c:v>17675.2</c:v>
                </c:pt>
                <c:pt idx="21">
                  <c:v>17693.849999999999</c:v>
                </c:pt>
                <c:pt idx="22">
                  <c:v>17693.849999999999</c:v>
                </c:pt>
                <c:pt idx="23">
                  <c:v>17687.8</c:v>
                </c:pt>
                <c:pt idx="24">
                  <c:v>17687.8</c:v>
                </c:pt>
                <c:pt idx="25">
                  <c:v>17685.650000000001</c:v>
                </c:pt>
                <c:pt idx="26">
                  <c:v>17685.650000000001</c:v>
                </c:pt>
                <c:pt idx="27">
                  <c:v>17669.45</c:v>
                </c:pt>
                <c:pt idx="28">
                  <c:v>17669.45</c:v>
                </c:pt>
                <c:pt idx="29">
                  <c:v>17690.349999999999</c:v>
                </c:pt>
                <c:pt idx="30">
                  <c:v>17690.349999999999</c:v>
                </c:pt>
                <c:pt idx="31">
                  <c:v>17693.75</c:v>
                </c:pt>
                <c:pt idx="32">
                  <c:v>17693.75</c:v>
                </c:pt>
                <c:pt idx="33">
                  <c:v>17693.75</c:v>
                </c:pt>
                <c:pt idx="34">
                  <c:v>17693.75</c:v>
                </c:pt>
                <c:pt idx="35">
                  <c:v>17693.75</c:v>
                </c:pt>
              </c:numCache>
            </c:numRef>
          </c:val>
          <c:smooth val="0"/>
          <c:extLst>
            <c:ext xmlns:c16="http://schemas.microsoft.com/office/drawing/2014/chart" uri="{C3380CC4-5D6E-409C-BE32-E72D297353CC}">
              <c16:uniqueId val="{00000000-B1E2-4C0F-9989-438A9135182A}"/>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OI Diff</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Trend'!$H$4:$H$40</c:f>
              <c:numCache>
                <c:formatCode>#,##0</c:formatCode>
                <c:ptCount val="37"/>
                <c:pt idx="0">
                  <c:v>-860950</c:v>
                </c:pt>
                <c:pt idx="1">
                  <c:v>-2602000</c:v>
                </c:pt>
                <c:pt idx="2">
                  <c:v>-2602000</c:v>
                </c:pt>
                <c:pt idx="3">
                  <c:v>-3874450</c:v>
                </c:pt>
                <c:pt idx="4">
                  <c:v>-3874450</c:v>
                </c:pt>
                <c:pt idx="5">
                  <c:v>-2531600</c:v>
                </c:pt>
                <c:pt idx="6">
                  <c:v>-2531600</c:v>
                </c:pt>
                <c:pt idx="7">
                  <c:v>-2236000</c:v>
                </c:pt>
                <c:pt idx="8">
                  <c:v>-2236000</c:v>
                </c:pt>
                <c:pt idx="9">
                  <c:v>-1063350</c:v>
                </c:pt>
                <c:pt idx="10">
                  <c:v>-1063350</c:v>
                </c:pt>
                <c:pt idx="11">
                  <c:v>-1209050</c:v>
                </c:pt>
                <c:pt idx="12">
                  <c:v>-1209050</c:v>
                </c:pt>
                <c:pt idx="13">
                  <c:v>-1527100</c:v>
                </c:pt>
                <c:pt idx="14">
                  <c:v>-1527100</c:v>
                </c:pt>
                <c:pt idx="15">
                  <c:v>-3703950</c:v>
                </c:pt>
                <c:pt idx="16">
                  <c:v>-3703950</c:v>
                </c:pt>
                <c:pt idx="17">
                  <c:v>-3142250</c:v>
                </c:pt>
                <c:pt idx="18">
                  <c:v>-3142250</c:v>
                </c:pt>
                <c:pt idx="19">
                  <c:v>-2681850</c:v>
                </c:pt>
                <c:pt idx="20">
                  <c:v>-2681850</c:v>
                </c:pt>
                <c:pt idx="21">
                  <c:v>-1656050</c:v>
                </c:pt>
                <c:pt idx="22">
                  <c:v>-1656050</c:v>
                </c:pt>
                <c:pt idx="23">
                  <c:v>-1491850</c:v>
                </c:pt>
                <c:pt idx="24">
                  <c:v>-1491850</c:v>
                </c:pt>
                <c:pt idx="25">
                  <c:v>-1324100</c:v>
                </c:pt>
                <c:pt idx="26">
                  <c:v>-1324100</c:v>
                </c:pt>
                <c:pt idx="27">
                  <c:v>357550</c:v>
                </c:pt>
                <c:pt idx="28">
                  <c:v>357550</c:v>
                </c:pt>
                <c:pt idx="29">
                  <c:v>-2418850</c:v>
                </c:pt>
                <c:pt idx="30">
                  <c:v>-2418850</c:v>
                </c:pt>
                <c:pt idx="31">
                  <c:v>-1973600</c:v>
                </c:pt>
                <c:pt idx="32">
                  <c:v>-1973600</c:v>
                </c:pt>
                <c:pt idx="33">
                  <c:v>-1446550</c:v>
                </c:pt>
                <c:pt idx="34">
                  <c:v>-1446550</c:v>
                </c:pt>
                <c:pt idx="35">
                  <c:v>-1446550</c:v>
                </c:pt>
              </c:numCache>
            </c:numRef>
          </c:val>
          <c:smooth val="0"/>
          <c:extLst>
            <c:ext xmlns:c16="http://schemas.microsoft.com/office/drawing/2014/chart" uri="{C3380CC4-5D6E-409C-BE32-E72D297353CC}">
              <c16:uniqueId val="{00000001-B1E2-4C0F-9989-438A9135182A}"/>
            </c:ext>
          </c:extLst>
        </c:ser>
        <c:ser>
          <c:idx val="2"/>
          <c:order val="2"/>
          <c:tx>
            <c:v>CE Volume</c:v>
          </c:tx>
          <c:spPr>
            <a:ln w="22225" cap="rnd">
              <a:solidFill>
                <a:schemeClr val="accent3"/>
              </a:solidFill>
              <a:round/>
            </a:ln>
            <a:effectLst/>
          </c:spPr>
          <c:marker>
            <c:symbol val="none"/>
          </c:marker>
          <c:val>
            <c:numRef>
              <c:f>'NIFTY OI Trend'!$F$4:$F$40</c:f>
              <c:numCache>
                <c:formatCode>#,##0</c:formatCode>
                <c:ptCount val="37"/>
                <c:pt idx="0">
                  <c:v>590759</c:v>
                </c:pt>
                <c:pt idx="1">
                  <c:v>929401</c:v>
                </c:pt>
                <c:pt idx="2">
                  <c:v>929401</c:v>
                </c:pt>
                <c:pt idx="3">
                  <c:v>1437821</c:v>
                </c:pt>
                <c:pt idx="4">
                  <c:v>1437821</c:v>
                </c:pt>
                <c:pt idx="5">
                  <c:v>1781380</c:v>
                </c:pt>
                <c:pt idx="6">
                  <c:v>1781380</c:v>
                </c:pt>
                <c:pt idx="7">
                  <c:v>1844058</c:v>
                </c:pt>
                <c:pt idx="8">
                  <c:v>1844058</c:v>
                </c:pt>
                <c:pt idx="9">
                  <c:v>2729602</c:v>
                </c:pt>
                <c:pt idx="10">
                  <c:v>2729602</c:v>
                </c:pt>
                <c:pt idx="11">
                  <c:v>2953385</c:v>
                </c:pt>
                <c:pt idx="12">
                  <c:v>2953385</c:v>
                </c:pt>
                <c:pt idx="13">
                  <c:v>3224000</c:v>
                </c:pt>
                <c:pt idx="14">
                  <c:v>3224000</c:v>
                </c:pt>
                <c:pt idx="15">
                  <c:v>3772463</c:v>
                </c:pt>
                <c:pt idx="16">
                  <c:v>3772463</c:v>
                </c:pt>
                <c:pt idx="17">
                  <c:v>3935270</c:v>
                </c:pt>
                <c:pt idx="18">
                  <c:v>3935270</c:v>
                </c:pt>
                <c:pt idx="19">
                  <c:v>4065573</c:v>
                </c:pt>
                <c:pt idx="20">
                  <c:v>4065573</c:v>
                </c:pt>
                <c:pt idx="21">
                  <c:v>4384184</c:v>
                </c:pt>
                <c:pt idx="22">
                  <c:v>4384184</c:v>
                </c:pt>
                <c:pt idx="23">
                  <c:v>4559457</c:v>
                </c:pt>
                <c:pt idx="24">
                  <c:v>4559457</c:v>
                </c:pt>
                <c:pt idx="25">
                  <c:v>4686716</c:v>
                </c:pt>
                <c:pt idx="26">
                  <c:v>4686716</c:v>
                </c:pt>
                <c:pt idx="27">
                  <c:v>4657839</c:v>
                </c:pt>
                <c:pt idx="28">
                  <c:v>4657839</c:v>
                </c:pt>
                <c:pt idx="29">
                  <c:v>5370488</c:v>
                </c:pt>
                <c:pt idx="30">
                  <c:v>5370488</c:v>
                </c:pt>
                <c:pt idx="31">
                  <c:v>5518953</c:v>
                </c:pt>
                <c:pt idx="32">
                  <c:v>5518953</c:v>
                </c:pt>
                <c:pt idx="33">
                  <c:v>5576872</c:v>
                </c:pt>
                <c:pt idx="34">
                  <c:v>5576872</c:v>
                </c:pt>
                <c:pt idx="35">
                  <c:v>5576872</c:v>
                </c:pt>
              </c:numCache>
            </c:numRef>
          </c:val>
          <c:smooth val="0"/>
          <c:extLst>
            <c:ext xmlns:c16="http://schemas.microsoft.com/office/drawing/2014/chart" uri="{C3380CC4-5D6E-409C-BE32-E72D297353CC}">
              <c16:uniqueId val="{00000002-B1E2-4C0F-9989-438A9135182A}"/>
            </c:ext>
          </c:extLst>
        </c:ser>
        <c:ser>
          <c:idx val="3"/>
          <c:order val="3"/>
          <c:tx>
            <c:v>PE Volume</c:v>
          </c:tx>
          <c:spPr>
            <a:ln w="22225" cap="rnd">
              <a:solidFill>
                <a:schemeClr val="accent4"/>
              </a:solidFill>
              <a:round/>
            </a:ln>
            <a:effectLst/>
          </c:spPr>
          <c:marker>
            <c:symbol val="none"/>
          </c:marker>
          <c:val>
            <c:numRef>
              <c:f>'NIFTY OI Trend'!$G$4:$G$40</c:f>
              <c:numCache>
                <c:formatCode>#,##0</c:formatCode>
                <c:ptCount val="37"/>
                <c:pt idx="0">
                  <c:v>660487</c:v>
                </c:pt>
                <c:pt idx="1">
                  <c:v>1032743</c:v>
                </c:pt>
                <c:pt idx="2">
                  <c:v>1032743</c:v>
                </c:pt>
                <c:pt idx="3">
                  <c:v>1408010</c:v>
                </c:pt>
                <c:pt idx="4">
                  <c:v>1408010</c:v>
                </c:pt>
                <c:pt idx="5">
                  <c:v>1692837</c:v>
                </c:pt>
                <c:pt idx="6">
                  <c:v>1692837</c:v>
                </c:pt>
                <c:pt idx="7">
                  <c:v>1738073</c:v>
                </c:pt>
                <c:pt idx="8">
                  <c:v>1738073</c:v>
                </c:pt>
                <c:pt idx="9">
                  <c:v>2451194</c:v>
                </c:pt>
                <c:pt idx="10">
                  <c:v>2451194</c:v>
                </c:pt>
                <c:pt idx="11">
                  <c:v>2640205</c:v>
                </c:pt>
                <c:pt idx="12">
                  <c:v>2640205</c:v>
                </c:pt>
                <c:pt idx="13">
                  <c:v>2897335</c:v>
                </c:pt>
                <c:pt idx="14">
                  <c:v>2897335</c:v>
                </c:pt>
                <c:pt idx="15">
                  <c:v>2914162</c:v>
                </c:pt>
                <c:pt idx="16">
                  <c:v>2914162</c:v>
                </c:pt>
                <c:pt idx="17">
                  <c:v>3047080</c:v>
                </c:pt>
                <c:pt idx="18">
                  <c:v>3047080</c:v>
                </c:pt>
                <c:pt idx="19">
                  <c:v>3151582</c:v>
                </c:pt>
                <c:pt idx="20">
                  <c:v>3151582</c:v>
                </c:pt>
                <c:pt idx="21">
                  <c:v>3398691</c:v>
                </c:pt>
                <c:pt idx="22">
                  <c:v>3398691</c:v>
                </c:pt>
                <c:pt idx="23">
                  <c:v>3532049</c:v>
                </c:pt>
                <c:pt idx="24">
                  <c:v>3532049</c:v>
                </c:pt>
                <c:pt idx="25">
                  <c:v>3634956</c:v>
                </c:pt>
                <c:pt idx="26">
                  <c:v>3634956</c:v>
                </c:pt>
                <c:pt idx="27">
                  <c:v>4187205</c:v>
                </c:pt>
                <c:pt idx="28">
                  <c:v>4187205</c:v>
                </c:pt>
                <c:pt idx="29">
                  <c:v>4180725</c:v>
                </c:pt>
                <c:pt idx="30">
                  <c:v>4180725</c:v>
                </c:pt>
                <c:pt idx="31">
                  <c:v>4293885</c:v>
                </c:pt>
                <c:pt idx="32">
                  <c:v>4293885</c:v>
                </c:pt>
                <c:pt idx="33">
                  <c:v>4340635</c:v>
                </c:pt>
                <c:pt idx="34">
                  <c:v>4340635</c:v>
                </c:pt>
                <c:pt idx="35">
                  <c:v>4340635</c:v>
                </c:pt>
              </c:numCache>
            </c:numRef>
          </c:val>
          <c:smooth val="0"/>
          <c:extLst>
            <c:ext xmlns:c16="http://schemas.microsoft.com/office/drawing/2014/chart" uri="{C3380CC4-5D6E-409C-BE32-E72D297353CC}">
              <c16:uniqueId val="{00000003-B1E2-4C0F-9989-438A9135182A}"/>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Bank Nifty Change in OI Difference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BANK NIFTY</c:v>
          </c:tx>
          <c:spPr>
            <a:ln w="22225" cap="rnd">
              <a:solidFill>
                <a:schemeClr val="accent1"/>
              </a:solidFill>
              <a:round/>
            </a:ln>
            <a:effectLst/>
          </c:spPr>
          <c:marker>
            <c:symbol val="circle"/>
            <c:size val="3"/>
            <c:spPr>
              <a:solidFill>
                <a:schemeClr val="lt1"/>
              </a:solidFill>
              <a:ln w="15875">
                <a:solidFill>
                  <a:schemeClr val="accent1"/>
                </a:solidFill>
                <a:round/>
              </a:ln>
              <a:effectLst/>
            </c:spPr>
          </c:marker>
          <c:cat>
            <c:numRef>
              <c:f>'BNF OI Trend'!$B$4:$B$40</c:f>
              <c:numCache>
                <c:formatCode>hhmm</c:formatCode>
                <c:ptCount val="3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Trend'!$C$4:$C$40</c:f>
              <c:numCache>
                <c:formatCode>General</c:formatCode>
                <c:ptCount val="37"/>
                <c:pt idx="0">
                  <c:v>38840.400000000001</c:v>
                </c:pt>
                <c:pt idx="1">
                  <c:v>38772.35</c:v>
                </c:pt>
                <c:pt idx="2">
                  <c:v>38772.35</c:v>
                </c:pt>
                <c:pt idx="3">
                  <c:v>38789.800000000003</c:v>
                </c:pt>
                <c:pt idx="4">
                  <c:v>38789.800000000003</c:v>
                </c:pt>
                <c:pt idx="5">
                  <c:v>38842.800000000003</c:v>
                </c:pt>
                <c:pt idx="6">
                  <c:v>38842.800000000003</c:v>
                </c:pt>
                <c:pt idx="7">
                  <c:v>38820.800000000003</c:v>
                </c:pt>
                <c:pt idx="8">
                  <c:v>38820.800000000003</c:v>
                </c:pt>
                <c:pt idx="9">
                  <c:v>38849.050000000003</c:v>
                </c:pt>
                <c:pt idx="10">
                  <c:v>38849.050000000003</c:v>
                </c:pt>
                <c:pt idx="11">
                  <c:v>38809.449999999997</c:v>
                </c:pt>
                <c:pt idx="12">
                  <c:v>38809.449999999997</c:v>
                </c:pt>
                <c:pt idx="13">
                  <c:v>38838.9</c:v>
                </c:pt>
                <c:pt idx="14">
                  <c:v>38838.9</c:v>
                </c:pt>
                <c:pt idx="15">
                  <c:v>38885.9</c:v>
                </c:pt>
                <c:pt idx="16">
                  <c:v>38885.9</c:v>
                </c:pt>
                <c:pt idx="17">
                  <c:v>38911.800000000003</c:v>
                </c:pt>
                <c:pt idx="18">
                  <c:v>38911.800000000003</c:v>
                </c:pt>
                <c:pt idx="19">
                  <c:v>38903</c:v>
                </c:pt>
                <c:pt idx="20">
                  <c:v>38903</c:v>
                </c:pt>
                <c:pt idx="21">
                  <c:v>38970.85</c:v>
                </c:pt>
                <c:pt idx="22">
                  <c:v>38970.85</c:v>
                </c:pt>
                <c:pt idx="23">
                  <c:v>38972.9</c:v>
                </c:pt>
                <c:pt idx="24">
                  <c:v>38972.9</c:v>
                </c:pt>
                <c:pt idx="25">
                  <c:v>38968.25</c:v>
                </c:pt>
                <c:pt idx="26">
                  <c:v>38968.25</c:v>
                </c:pt>
                <c:pt idx="27">
                  <c:v>38980.65</c:v>
                </c:pt>
                <c:pt idx="28">
                  <c:v>38980.65</c:v>
                </c:pt>
                <c:pt idx="29">
                  <c:v>39024.75</c:v>
                </c:pt>
                <c:pt idx="30">
                  <c:v>39024.75</c:v>
                </c:pt>
                <c:pt idx="31">
                  <c:v>39030.75</c:v>
                </c:pt>
                <c:pt idx="32">
                  <c:v>39030.75</c:v>
                </c:pt>
                <c:pt idx="33">
                  <c:v>39030.75</c:v>
                </c:pt>
                <c:pt idx="34">
                  <c:v>39030.75</c:v>
                </c:pt>
                <c:pt idx="35">
                  <c:v>39027.25</c:v>
                </c:pt>
              </c:numCache>
            </c:numRef>
          </c:val>
          <c:smooth val="0"/>
          <c:extLst>
            <c:ext xmlns:c16="http://schemas.microsoft.com/office/drawing/2014/chart" uri="{C3380CC4-5D6E-409C-BE32-E72D297353CC}">
              <c16:uniqueId val="{00000000-C51B-4F2D-86E2-11E376015BAB}"/>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OI DIFF</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'BNF OI Trend'!$B$4:$B$40</c:f>
              <c:numCache>
                <c:formatCode>hhmm</c:formatCode>
                <c:ptCount val="3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Trend'!$H$4:$H$40</c:f>
              <c:numCache>
                <c:formatCode>#,##0</c:formatCode>
                <c:ptCount val="37"/>
                <c:pt idx="0">
                  <c:v>-7533500</c:v>
                </c:pt>
                <c:pt idx="1">
                  <c:v>-18588500</c:v>
                </c:pt>
                <c:pt idx="2">
                  <c:v>-18588500</c:v>
                </c:pt>
                <c:pt idx="3">
                  <c:v>-17051500</c:v>
                </c:pt>
                <c:pt idx="4">
                  <c:v>-17051500</c:v>
                </c:pt>
                <c:pt idx="5">
                  <c:v>-16823000</c:v>
                </c:pt>
                <c:pt idx="6">
                  <c:v>-16823000</c:v>
                </c:pt>
                <c:pt idx="7">
                  <c:v>-14967000</c:v>
                </c:pt>
                <c:pt idx="8">
                  <c:v>-14967000</c:v>
                </c:pt>
                <c:pt idx="9">
                  <c:v>-21549000</c:v>
                </c:pt>
                <c:pt idx="10">
                  <c:v>-21549000</c:v>
                </c:pt>
                <c:pt idx="11">
                  <c:v>-23120500</c:v>
                </c:pt>
                <c:pt idx="12">
                  <c:v>-23120500</c:v>
                </c:pt>
                <c:pt idx="13">
                  <c:v>-25112500</c:v>
                </c:pt>
                <c:pt idx="14">
                  <c:v>-25112500</c:v>
                </c:pt>
                <c:pt idx="15">
                  <c:v>-23950500</c:v>
                </c:pt>
                <c:pt idx="16">
                  <c:v>-23950500</c:v>
                </c:pt>
                <c:pt idx="17">
                  <c:v>-22370500</c:v>
                </c:pt>
                <c:pt idx="18">
                  <c:v>-22370500</c:v>
                </c:pt>
                <c:pt idx="19">
                  <c:v>-20775000</c:v>
                </c:pt>
                <c:pt idx="20">
                  <c:v>-20775000</c:v>
                </c:pt>
                <c:pt idx="21">
                  <c:v>-7403000</c:v>
                </c:pt>
                <c:pt idx="22">
                  <c:v>-7403000</c:v>
                </c:pt>
                <c:pt idx="23">
                  <c:v>8658500</c:v>
                </c:pt>
                <c:pt idx="24">
                  <c:v>8658500</c:v>
                </c:pt>
                <c:pt idx="25">
                  <c:v>7425000</c:v>
                </c:pt>
                <c:pt idx="26">
                  <c:v>7425000</c:v>
                </c:pt>
                <c:pt idx="27">
                  <c:v>9605500</c:v>
                </c:pt>
                <c:pt idx="28">
                  <c:v>9605500</c:v>
                </c:pt>
                <c:pt idx="29">
                  <c:v>9514500</c:v>
                </c:pt>
                <c:pt idx="30">
                  <c:v>9514500</c:v>
                </c:pt>
                <c:pt idx="31">
                  <c:v>13726000</c:v>
                </c:pt>
                <c:pt idx="32">
                  <c:v>13726000</c:v>
                </c:pt>
                <c:pt idx="33">
                  <c:v>16191500</c:v>
                </c:pt>
                <c:pt idx="34">
                  <c:v>16191500</c:v>
                </c:pt>
                <c:pt idx="35">
                  <c:v>17506500</c:v>
                </c:pt>
              </c:numCache>
            </c:numRef>
          </c:val>
          <c:smooth val="0"/>
          <c:extLst>
            <c:ext xmlns:c16="http://schemas.microsoft.com/office/drawing/2014/chart" uri="{C3380CC4-5D6E-409C-BE32-E72D297353CC}">
              <c16:uniqueId val="{00000001-C51B-4F2D-86E2-11E376015BAB}"/>
            </c:ext>
          </c:extLst>
        </c:ser>
        <c:ser>
          <c:idx val="2"/>
          <c:order val="2"/>
          <c:tx>
            <c:v>CE Volume</c:v>
          </c:tx>
          <c:spPr>
            <a:ln w="22225" cap="rnd">
              <a:solidFill>
                <a:schemeClr val="accent3"/>
              </a:solidFill>
              <a:round/>
            </a:ln>
            <a:effectLst/>
          </c:spPr>
          <c:marker>
            <c:symbol val="none"/>
          </c:marker>
          <c:val>
            <c:numRef>
              <c:f>'BNF OI Trend'!$F$4:$F$40</c:f>
              <c:numCache>
                <c:formatCode>#,##0</c:formatCode>
                <c:ptCount val="37"/>
                <c:pt idx="0">
                  <c:v>519371</c:v>
                </c:pt>
                <c:pt idx="1">
                  <c:v>831774</c:v>
                </c:pt>
                <c:pt idx="2">
                  <c:v>831774</c:v>
                </c:pt>
                <c:pt idx="3">
                  <c:v>1039740</c:v>
                </c:pt>
                <c:pt idx="4">
                  <c:v>1039740</c:v>
                </c:pt>
                <c:pt idx="5">
                  <c:v>1228028</c:v>
                </c:pt>
                <c:pt idx="6">
                  <c:v>1228028</c:v>
                </c:pt>
                <c:pt idx="7">
                  <c:v>1300826</c:v>
                </c:pt>
                <c:pt idx="8">
                  <c:v>1300826</c:v>
                </c:pt>
                <c:pt idx="9">
                  <c:v>1678002</c:v>
                </c:pt>
                <c:pt idx="10">
                  <c:v>1678002</c:v>
                </c:pt>
                <c:pt idx="11">
                  <c:v>1797522</c:v>
                </c:pt>
                <c:pt idx="12">
                  <c:v>1797522</c:v>
                </c:pt>
                <c:pt idx="13">
                  <c:v>1931651</c:v>
                </c:pt>
                <c:pt idx="14">
                  <c:v>1931651</c:v>
                </c:pt>
                <c:pt idx="15">
                  <c:v>2045896</c:v>
                </c:pt>
                <c:pt idx="16">
                  <c:v>2045896</c:v>
                </c:pt>
                <c:pt idx="17">
                  <c:v>2165211</c:v>
                </c:pt>
                <c:pt idx="18">
                  <c:v>2165211</c:v>
                </c:pt>
                <c:pt idx="19">
                  <c:v>2238164</c:v>
                </c:pt>
                <c:pt idx="20">
                  <c:v>2238164</c:v>
                </c:pt>
                <c:pt idx="21">
                  <c:v>2554972</c:v>
                </c:pt>
                <c:pt idx="22">
                  <c:v>2554972</c:v>
                </c:pt>
                <c:pt idx="23">
                  <c:v>2804020</c:v>
                </c:pt>
                <c:pt idx="24">
                  <c:v>2804020</c:v>
                </c:pt>
                <c:pt idx="25">
                  <c:v>2873297</c:v>
                </c:pt>
                <c:pt idx="26">
                  <c:v>2873297</c:v>
                </c:pt>
                <c:pt idx="27">
                  <c:v>3332837</c:v>
                </c:pt>
                <c:pt idx="28">
                  <c:v>3332837</c:v>
                </c:pt>
                <c:pt idx="29">
                  <c:v>3508447</c:v>
                </c:pt>
                <c:pt idx="30">
                  <c:v>3508447</c:v>
                </c:pt>
                <c:pt idx="31">
                  <c:v>3673598</c:v>
                </c:pt>
                <c:pt idx="32">
                  <c:v>3673598</c:v>
                </c:pt>
                <c:pt idx="33">
                  <c:v>3714652</c:v>
                </c:pt>
                <c:pt idx="34">
                  <c:v>3714652</c:v>
                </c:pt>
                <c:pt idx="35">
                  <c:v>3743221</c:v>
                </c:pt>
              </c:numCache>
            </c:numRef>
          </c:val>
          <c:smooth val="0"/>
          <c:extLst>
            <c:ext xmlns:c16="http://schemas.microsoft.com/office/drawing/2014/chart" uri="{C3380CC4-5D6E-409C-BE32-E72D297353CC}">
              <c16:uniqueId val="{00000002-C51B-4F2D-86E2-11E376015BAB}"/>
            </c:ext>
          </c:extLst>
        </c:ser>
        <c:ser>
          <c:idx val="3"/>
          <c:order val="3"/>
          <c:tx>
            <c:v>PE Volume</c:v>
          </c:tx>
          <c:spPr>
            <a:ln w="22225" cap="rnd">
              <a:solidFill>
                <a:schemeClr val="accent4"/>
              </a:solidFill>
              <a:round/>
            </a:ln>
            <a:effectLst/>
          </c:spPr>
          <c:marker>
            <c:symbol val="none"/>
          </c:marker>
          <c:val>
            <c:numRef>
              <c:f>'BNF OI Trend'!$G$4:$G$40</c:f>
              <c:numCache>
                <c:formatCode>#,##0</c:formatCode>
                <c:ptCount val="37"/>
                <c:pt idx="0">
                  <c:v>457131</c:v>
                </c:pt>
                <c:pt idx="1">
                  <c:v>783500</c:v>
                </c:pt>
                <c:pt idx="2">
                  <c:v>783500</c:v>
                </c:pt>
                <c:pt idx="3">
                  <c:v>997793</c:v>
                </c:pt>
                <c:pt idx="4">
                  <c:v>997793</c:v>
                </c:pt>
                <c:pt idx="5">
                  <c:v>1174137</c:v>
                </c:pt>
                <c:pt idx="6">
                  <c:v>1174137</c:v>
                </c:pt>
                <c:pt idx="7">
                  <c:v>1239522</c:v>
                </c:pt>
                <c:pt idx="8">
                  <c:v>1239522</c:v>
                </c:pt>
                <c:pt idx="9">
                  <c:v>1582240</c:v>
                </c:pt>
                <c:pt idx="10">
                  <c:v>1582240</c:v>
                </c:pt>
                <c:pt idx="11">
                  <c:v>1682851</c:v>
                </c:pt>
                <c:pt idx="12">
                  <c:v>1682851</c:v>
                </c:pt>
                <c:pt idx="13">
                  <c:v>1806689</c:v>
                </c:pt>
                <c:pt idx="14">
                  <c:v>1806689</c:v>
                </c:pt>
                <c:pt idx="15">
                  <c:v>1898170</c:v>
                </c:pt>
                <c:pt idx="16">
                  <c:v>1898170</c:v>
                </c:pt>
                <c:pt idx="17">
                  <c:v>1990581</c:v>
                </c:pt>
                <c:pt idx="18">
                  <c:v>1990581</c:v>
                </c:pt>
                <c:pt idx="19">
                  <c:v>2048771</c:v>
                </c:pt>
                <c:pt idx="20">
                  <c:v>2048771</c:v>
                </c:pt>
                <c:pt idx="21">
                  <c:v>2247017</c:v>
                </c:pt>
                <c:pt idx="22">
                  <c:v>2247017</c:v>
                </c:pt>
                <c:pt idx="23">
                  <c:v>2422089</c:v>
                </c:pt>
                <c:pt idx="24">
                  <c:v>2422089</c:v>
                </c:pt>
                <c:pt idx="25">
                  <c:v>2479765</c:v>
                </c:pt>
                <c:pt idx="26">
                  <c:v>2479765</c:v>
                </c:pt>
                <c:pt idx="27">
                  <c:v>2837419</c:v>
                </c:pt>
                <c:pt idx="28">
                  <c:v>2837419</c:v>
                </c:pt>
                <c:pt idx="29">
                  <c:v>2935599</c:v>
                </c:pt>
                <c:pt idx="30">
                  <c:v>2935599</c:v>
                </c:pt>
                <c:pt idx="31">
                  <c:v>3033912</c:v>
                </c:pt>
                <c:pt idx="32">
                  <c:v>3033912</c:v>
                </c:pt>
                <c:pt idx="33">
                  <c:v>3060802</c:v>
                </c:pt>
                <c:pt idx="34">
                  <c:v>3060802</c:v>
                </c:pt>
                <c:pt idx="35">
                  <c:v>3080821</c:v>
                </c:pt>
              </c:numCache>
            </c:numRef>
          </c:val>
          <c:smooth val="0"/>
          <c:extLst>
            <c:ext xmlns:c16="http://schemas.microsoft.com/office/drawing/2014/chart" uri="{C3380CC4-5D6E-409C-BE32-E72D297353CC}">
              <c16:uniqueId val="{00000003-C51B-4F2D-86E2-11E376015BAB}"/>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Nifty CE</a:t>
            </a:r>
            <a:r>
              <a:rPr lang="en-IN" baseline="0"/>
              <a:t> PE IV &amp; PCR Change</a:t>
            </a:r>
            <a:endParaRPr lang="en-IN"/>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1"/>
          <c:order val="0"/>
          <c:tx>
            <c:v>CE IV</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'NIFTY OI Trend'!$B$4:$B$50</c:f>
              <c:numCache>
                <c:formatCode>hhmm</c:formatCode>
                <c:ptCount val="4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Trend'!$I$4:$I$50</c:f>
              <c:numCache>
                <c:formatCode>#,##0.00</c:formatCode>
                <c:ptCount val="47"/>
                <c:pt idx="0">
                  <c:v>12.14</c:v>
                </c:pt>
                <c:pt idx="1">
                  <c:v>12.1</c:v>
                </c:pt>
                <c:pt idx="2">
                  <c:v>12.1</c:v>
                </c:pt>
                <c:pt idx="3">
                  <c:v>11.28</c:v>
                </c:pt>
                <c:pt idx="4">
                  <c:v>11.28</c:v>
                </c:pt>
                <c:pt idx="5">
                  <c:v>11.41</c:v>
                </c:pt>
                <c:pt idx="6">
                  <c:v>11.41</c:v>
                </c:pt>
                <c:pt idx="7">
                  <c:v>11.65</c:v>
                </c:pt>
                <c:pt idx="8">
                  <c:v>11.65</c:v>
                </c:pt>
                <c:pt idx="9">
                  <c:v>11.52</c:v>
                </c:pt>
                <c:pt idx="10">
                  <c:v>11.52</c:v>
                </c:pt>
                <c:pt idx="11">
                  <c:v>11.6</c:v>
                </c:pt>
                <c:pt idx="12">
                  <c:v>11.6</c:v>
                </c:pt>
                <c:pt idx="13">
                  <c:v>11.54</c:v>
                </c:pt>
                <c:pt idx="14">
                  <c:v>11.54</c:v>
                </c:pt>
                <c:pt idx="15">
                  <c:v>11.14</c:v>
                </c:pt>
                <c:pt idx="16">
                  <c:v>11.14</c:v>
                </c:pt>
                <c:pt idx="17">
                  <c:v>10.86</c:v>
                </c:pt>
                <c:pt idx="18">
                  <c:v>10.86</c:v>
                </c:pt>
                <c:pt idx="19">
                  <c:v>10.92</c:v>
                </c:pt>
                <c:pt idx="20">
                  <c:v>10.92</c:v>
                </c:pt>
                <c:pt idx="21">
                  <c:v>10.78</c:v>
                </c:pt>
                <c:pt idx="22">
                  <c:v>10.78</c:v>
                </c:pt>
                <c:pt idx="23">
                  <c:v>10.79</c:v>
                </c:pt>
                <c:pt idx="24">
                  <c:v>10.79</c:v>
                </c:pt>
                <c:pt idx="25">
                  <c:v>10.79</c:v>
                </c:pt>
                <c:pt idx="26">
                  <c:v>10.79</c:v>
                </c:pt>
                <c:pt idx="27">
                  <c:v>10.69</c:v>
                </c:pt>
                <c:pt idx="28">
                  <c:v>10.69</c:v>
                </c:pt>
                <c:pt idx="29">
                  <c:v>10.8</c:v>
                </c:pt>
                <c:pt idx="30">
                  <c:v>10.8</c:v>
                </c:pt>
                <c:pt idx="31">
                  <c:v>10.58</c:v>
                </c:pt>
                <c:pt idx="32">
                  <c:v>10.58</c:v>
                </c:pt>
                <c:pt idx="33">
                  <c:v>10.58</c:v>
                </c:pt>
                <c:pt idx="34">
                  <c:v>10.58</c:v>
                </c:pt>
                <c:pt idx="35">
                  <c:v>10.58</c:v>
                </c:pt>
              </c:numCache>
            </c:numRef>
          </c:val>
          <c:smooth val="0"/>
          <c:extLst>
            <c:ext xmlns:c16="http://schemas.microsoft.com/office/drawing/2014/chart" uri="{C3380CC4-5D6E-409C-BE32-E72D297353CC}">
              <c16:uniqueId val="{00000000-23D4-40BF-8EEB-CEC3AF657628}"/>
            </c:ext>
          </c:extLst>
        </c:ser>
        <c:ser>
          <c:idx val="3"/>
          <c:order val="1"/>
          <c:tx>
            <c:v>PE IV</c:v>
          </c:tx>
          <c:spPr>
            <a:ln w="22225" cap="rnd">
              <a:solidFill>
                <a:schemeClr val="accent4"/>
              </a:solidFill>
              <a:round/>
            </a:ln>
            <a:effectLst/>
          </c:spPr>
          <c:marker>
            <c:symbol val="diamond"/>
            <c:size val="3"/>
            <c:spPr>
              <a:solidFill>
                <a:schemeClr val="lt1"/>
              </a:solidFill>
              <a:ln w="15875">
                <a:solidFill>
                  <a:schemeClr val="accent4"/>
                </a:solidFill>
                <a:round/>
              </a:ln>
              <a:effectLst/>
            </c:spPr>
          </c:marker>
          <c:cat>
            <c:numRef>
              <c:f>'NIFTY OI Trend'!$B$4:$B$50</c:f>
              <c:numCache>
                <c:formatCode>hhmm</c:formatCode>
                <c:ptCount val="4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Trend'!$J$4:$J$50</c:f>
              <c:numCache>
                <c:formatCode>#,##0.00</c:formatCode>
                <c:ptCount val="47"/>
                <c:pt idx="0">
                  <c:v>14.48</c:v>
                </c:pt>
                <c:pt idx="1">
                  <c:v>14.36</c:v>
                </c:pt>
                <c:pt idx="2">
                  <c:v>14.36</c:v>
                </c:pt>
                <c:pt idx="3">
                  <c:v>14.67</c:v>
                </c:pt>
                <c:pt idx="4">
                  <c:v>14.67</c:v>
                </c:pt>
                <c:pt idx="5">
                  <c:v>14.64</c:v>
                </c:pt>
                <c:pt idx="6">
                  <c:v>14.64</c:v>
                </c:pt>
                <c:pt idx="7">
                  <c:v>14.41</c:v>
                </c:pt>
                <c:pt idx="8">
                  <c:v>14.41</c:v>
                </c:pt>
                <c:pt idx="9">
                  <c:v>14.21</c:v>
                </c:pt>
                <c:pt idx="10">
                  <c:v>14.21</c:v>
                </c:pt>
                <c:pt idx="11">
                  <c:v>13.89</c:v>
                </c:pt>
                <c:pt idx="12">
                  <c:v>13.89</c:v>
                </c:pt>
                <c:pt idx="13">
                  <c:v>14.01</c:v>
                </c:pt>
                <c:pt idx="14">
                  <c:v>14.01</c:v>
                </c:pt>
                <c:pt idx="15">
                  <c:v>13.98</c:v>
                </c:pt>
                <c:pt idx="16">
                  <c:v>13.98</c:v>
                </c:pt>
                <c:pt idx="17">
                  <c:v>14.12</c:v>
                </c:pt>
                <c:pt idx="18">
                  <c:v>14.12</c:v>
                </c:pt>
                <c:pt idx="19">
                  <c:v>14.04</c:v>
                </c:pt>
                <c:pt idx="20">
                  <c:v>14.04</c:v>
                </c:pt>
                <c:pt idx="21">
                  <c:v>13.91</c:v>
                </c:pt>
                <c:pt idx="22">
                  <c:v>13.91</c:v>
                </c:pt>
                <c:pt idx="23">
                  <c:v>14.02</c:v>
                </c:pt>
                <c:pt idx="24">
                  <c:v>14.02</c:v>
                </c:pt>
                <c:pt idx="25">
                  <c:v>14.02</c:v>
                </c:pt>
                <c:pt idx="26">
                  <c:v>14.02</c:v>
                </c:pt>
                <c:pt idx="27">
                  <c:v>13.92</c:v>
                </c:pt>
                <c:pt idx="28">
                  <c:v>13.92</c:v>
                </c:pt>
                <c:pt idx="29">
                  <c:v>13.92</c:v>
                </c:pt>
                <c:pt idx="30">
                  <c:v>13.92</c:v>
                </c:pt>
                <c:pt idx="31">
                  <c:v>13.79</c:v>
                </c:pt>
                <c:pt idx="32">
                  <c:v>13.79</c:v>
                </c:pt>
                <c:pt idx="33">
                  <c:v>13.79</c:v>
                </c:pt>
                <c:pt idx="34">
                  <c:v>13.79</c:v>
                </c:pt>
                <c:pt idx="35">
                  <c:v>13.79</c:v>
                </c:pt>
              </c:numCache>
            </c:numRef>
          </c:val>
          <c:smooth val="0"/>
          <c:extLst>
            <c:ext xmlns:c16="http://schemas.microsoft.com/office/drawing/2014/chart" uri="{C3380CC4-5D6E-409C-BE32-E72D297353CC}">
              <c16:uniqueId val="{00000001-23D4-40BF-8EEB-CEC3AF657628}"/>
            </c:ext>
          </c:extLst>
        </c:ser>
        <c:ser>
          <c:idx val="0"/>
          <c:order val="2"/>
          <c:tx>
            <c:v>PCR</c:v>
          </c:tx>
          <c:spPr>
            <a:ln w="19050" cap="rnd">
              <a:solidFill>
                <a:schemeClr val="accent1"/>
              </a:solidFill>
              <a:round/>
            </a:ln>
            <a:effectLst/>
          </c:spPr>
          <c:marker>
            <c:symbol val="none"/>
          </c:marker>
          <c:cat>
            <c:numRef>
              <c:f>'NIFTY OI Trend'!$B$4:$B$50</c:f>
              <c:numCache>
                <c:formatCode>hhmm</c:formatCode>
                <c:ptCount val="4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Trend'!$K$4:$K$50</c:f>
              <c:numCache>
                <c:formatCode>#,##0.00</c:formatCode>
                <c:ptCount val="47"/>
                <c:pt idx="0">
                  <c:v>3.08</c:v>
                </c:pt>
                <c:pt idx="1">
                  <c:v>2.4300000000000002</c:v>
                </c:pt>
                <c:pt idx="2">
                  <c:v>2.4300000000000002</c:v>
                </c:pt>
                <c:pt idx="3">
                  <c:v>0.94</c:v>
                </c:pt>
                <c:pt idx="4">
                  <c:v>0.94</c:v>
                </c:pt>
                <c:pt idx="5">
                  <c:v>1.05</c:v>
                </c:pt>
                <c:pt idx="6">
                  <c:v>1.05</c:v>
                </c:pt>
                <c:pt idx="7">
                  <c:v>1.08</c:v>
                </c:pt>
                <c:pt idx="8">
                  <c:v>1.08</c:v>
                </c:pt>
                <c:pt idx="9">
                  <c:v>1.27</c:v>
                </c:pt>
                <c:pt idx="10">
                  <c:v>1.27</c:v>
                </c:pt>
                <c:pt idx="11">
                  <c:v>1.26</c:v>
                </c:pt>
                <c:pt idx="12">
                  <c:v>1.26</c:v>
                </c:pt>
                <c:pt idx="13">
                  <c:v>1.24</c:v>
                </c:pt>
                <c:pt idx="14">
                  <c:v>1.24</c:v>
                </c:pt>
                <c:pt idx="15">
                  <c:v>0.67</c:v>
                </c:pt>
                <c:pt idx="16">
                  <c:v>0.67</c:v>
                </c:pt>
                <c:pt idx="17">
                  <c:v>0.7</c:v>
                </c:pt>
                <c:pt idx="18">
                  <c:v>0.7</c:v>
                </c:pt>
                <c:pt idx="19">
                  <c:v>0.73</c:v>
                </c:pt>
                <c:pt idx="20">
                  <c:v>0.73</c:v>
                </c:pt>
                <c:pt idx="21">
                  <c:v>0.77</c:v>
                </c:pt>
                <c:pt idx="22">
                  <c:v>0.77</c:v>
                </c:pt>
                <c:pt idx="23">
                  <c:v>0.8</c:v>
                </c:pt>
                <c:pt idx="24">
                  <c:v>0.8</c:v>
                </c:pt>
                <c:pt idx="25">
                  <c:v>0.81</c:v>
                </c:pt>
                <c:pt idx="26">
                  <c:v>0.81</c:v>
                </c:pt>
                <c:pt idx="27">
                  <c:v>1.42</c:v>
                </c:pt>
                <c:pt idx="28">
                  <c:v>1.42</c:v>
                </c:pt>
                <c:pt idx="29">
                  <c:v>0.76</c:v>
                </c:pt>
                <c:pt idx="30">
                  <c:v>0.76</c:v>
                </c:pt>
                <c:pt idx="31">
                  <c:v>0.78</c:v>
                </c:pt>
                <c:pt idx="32">
                  <c:v>0.78</c:v>
                </c:pt>
                <c:pt idx="33">
                  <c:v>0.81</c:v>
                </c:pt>
                <c:pt idx="34">
                  <c:v>0.81</c:v>
                </c:pt>
                <c:pt idx="35">
                  <c:v>0.81</c:v>
                </c:pt>
              </c:numCache>
            </c:numRef>
          </c:val>
          <c:smooth val="0"/>
          <c:extLst>
            <c:ext xmlns:c16="http://schemas.microsoft.com/office/drawing/2014/chart" uri="{C3380CC4-5D6E-409C-BE32-E72D297353CC}">
              <c16:uniqueId val="{00000002-23D4-40BF-8EEB-CEC3AF657628}"/>
            </c:ext>
          </c:extLst>
        </c:ser>
        <c:dLbls>
          <c:showLegendKey val="0"/>
          <c:showVal val="0"/>
          <c:showCatName val="0"/>
          <c:showSerName val="0"/>
          <c:showPercent val="0"/>
          <c:showBubbleSize val="0"/>
        </c:dLbls>
        <c:marker val="1"/>
        <c:smooth val="0"/>
        <c:axId val="881859192"/>
        <c:axId val="881857552"/>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Bank Nifty CE</a:t>
            </a:r>
            <a:r>
              <a:rPr lang="en-IN" baseline="0"/>
              <a:t> PE IV &amp; PCR Change</a:t>
            </a:r>
            <a:endParaRPr lang="en-IN"/>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1"/>
          <c:order val="0"/>
          <c:tx>
            <c:v>CE IV</c:v>
          </c:tx>
          <c:spPr>
            <a:ln w="22225" cap="rnd">
              <a:solidFill>
                <a:schemeClr val="accent2"/>
              </a:solidFill>
              <a:round/>
            </a:ln>
            <a:effectLst/>
          </c:spPr>
          <c:marker>
            <c:symbol val="circle"/>
            <c:size val="4"/>
            <c:spPr>
              <a:solidFill>
                <a:schemeClr val="lt1"/>
              </a:solidFill>
              <a:ln w="15875">
                <a:solidFill>
                  <a:schemeClr val="accent2"/>
                </a:solidFill>
                <a:round/>
              </a:ln>
              <a:effectLst/>
            </c:spPr>
          </c:marker>
          <c:cat>
            <c:numRef>
              <c:f>'BNF OI Trend'!$B$4:$B$50</c:f>
              <c:numCache>
                <c:formatCode>hhmm</c:formatCode>
                <c:ptCount val="4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Trend'!$I$4:$I$50</c:f>
              <c:numCache>
                <c:formatCode>#,##0.00</c:formatCode>
                <c:ptCount val="47"/>
                <c:pt idx="0">
                  <c:v>14.56</c:v>
                </c:pt>
                <c:pt idx="1">
                  <c:v>15.32</c:v>
                </c:pt>
                <c:pt idx="2">
                  <c:v>15.32</c:v>
                </c:pt>
                <c:pt idx="3">
                  <c:v>14.61</c:v>
                </c:pt>
                <c:pt idx="4">
                  <c:v>14.61</c:v>
                </c:pt>
                <c:pt idx="5">
                  <c:v>14.3</c:v>
                </c:pt>
                <c:pt idx="6">
                  <c:v>14.3</c:v>
                </c:pt>
                <c:pt idx="7">
                  <c:v>14.84</c:v>
                </c:pt>
                <c:pt idx="8">
                  <c:v>14.84</c:v>
                </c:pt>
                <c:pt idx="9">
                  <c:v>14.22</c:v>
                </c:pt>
                <c:pt idx="10">
                  <c:v>14.22</c:v>
                </c:pt>
                <c:pt idx="11">
                  <c:v>14.22</c:v>
                </c:pt>
                <c:pt idx="12">
                  <c:v>14.22</c:v>
                </c:pt>
                <c:pt idx="13">
                  <c:v>13.44</c:v>
                </c:pt>
                <c:pt idx="14">
                  <c:v>13.44</c:v>
                </c:pt>
                <c:pt idx="15">
                  <c:v>10.24</c:v>
                </c:pt>
                <c:pt idx="16">
                  <c:v>10.24</c:v>
                </c:pt>
                <c:pt idx="17">
                  <c:v>10.01</c:v>
                </c:pt>
                <c:pt idx="18">
                  <c:v>10.01</c:v>
                </c:pt>
                <c:pt idx="19">
                  <c:v>10.01</c:v>
                </c:pt>
                <c:pt idx="20">
                  <c:v>10.01</c:v>
                </c:pt>
                <c:pt idx="21">
                  <c:v>9.7899999999999991</c:v>
                </c:pt>
                <c:pt idx="22">
                  <c:v>9.7899999999999991</c:v>
                </c:pt>
                <c:pt idx="23">
                  <c:v>10.34</c:v>
                </c:pt>
                <c:pt idx="24">
                  <c:v>10.34</c:v>
                </c:pt>
                <c:pt idx="25">
                  <c:v>10.34</c:v>
                </c:pt>
                <c:pt idx="26">
                  <c:v>10.34</c:v>
                </c:pt>
                <c:pt idx="27">
                  <c:v>10.28</c:v>
                </c:pt>
                <c:pt idx="28">
                  <c:v>10.28</c:v>
                </c:pt>
                <c:pt idx="29">
                  <c:v>10.28</c:v>
                </c:pt>
                <c:pt idx="30">
                  <c:v>10.28</c:v>
                </c:pt>
                <c:pt idx="31">
                  <c:v>10.25</c:v>
                </c:pt>
                <c:pt idx="32">
                  <c:v>10.25</c:v>
                </c:pt>
                <c:pt idx="33">
                  <c:v>10.25</c:v>
                </c:pt>
                <c:pt idx="34">
                  <c:v>10.25</c:v>
                </c:pt>
                <c:pt idx="35">
                  <c:v>10.25</c:v>
                </c:pt>
              </c:numCache>
            </c:numRef>
          </c:val>
          <c:smooth val="0"/>
          <c:extLst>
            <c:ext xmlns:c16="http://schemas.microsoft.com/office/drawing/2014/chart" uri="{C3380CC4-5D6E-409C-BE32-E72D297353CC}">
              <c16:uniqueId val="{00000000-B825-47EA-8675-B8486F0F0654}"/>
            </c:ext>
          </c:extLst>
        </c:ser>
        <c:ser>
          <c:idx val="3"/>
          <c:order val="1"/>
          <c:tx>
            <c:v>PE IV</c:v>
          </c:tx>
          <c:spPr>
            <a:ln w="22225" cap="rnd">
              <a:solidFill>
                <a:schemeClr val="accent4"/>
              </a:solidFill>
              <a:round/>
            </a:ln>
            <a:effectLst/>
          </c:spPr>
          <c:marker>
            <c:symbol val="circle"/>
            <c:size val="3"/>
            <c:spPr>
              <a:solidFill>
                <a:schemeClr val="lt1"/>
              </a:solidFill>
              <a:ln w="15875">
                <a:solidFill>
                  <a:schemeClr val="accent4"/>
                </a:solidFill>
                <a:round/>
              </a:ln>
              <a:effectLst/>
            </c:spPr>
          </c:marker>
          <c:cat>
            <c:numRef>
              <c:f>'BNF OI Trend'!$B$4:$B$50</c:f>
              <c:numCache>
                <c:formatCode>hhmm</c:formatCode>
                <c:ptCount val="4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Trend'!$J$4:$J$50</c:f>
              <c:numCache>
                <c:formatCode>#,##0.00</c:formatCode>
                <c:ptCount val="47"/>
                <c:pt idx="0">
                  <c:v>18.829999999999998</c:v>
                </c:pt>
                <c:pt idx="1">
                  <c:v>18.489999999999998</c:v>
                </c:pt>
                <c:pt idx="2">
                  <c:v>18.489999999999998</c:v>
                </c:pt>
                <c:pt idx="3">
                  <c:v>18.45</c:v>
                </c:pt>
                <c:pt idx="4">
                  <c:v>18.45</c:v>
                </c:pt>
                <c:pt idx="5">
                  <c:v>18.32</c:v>
                </c:pt>
                <c:pt idx="6">
                  <c:v>18.32</c:v>
                </c:pt>
                <c:pt idx="7">
                  <c:v>17.95</c:v>
                </c:pt>
                <c:pt idx="8">
                  <c:v>17.95</c:v>
                </c:pt>
                <c:pt idx="9">
                  <c:v>17.489999999999998</c:v>
                </c:pt>
                <c:pt idx="10">
                  <c:v>17.489999999999998</c:v>
                </c:pt>
                <c:pt idx="11">
                  <c:v>17.489999999999998</c:v>
                </c:pt>
                <c:pt idx="12">
                  <c:v>17.489999999999998</c:v>
                </c:pt>
                <c:pt idx="13">
                  <c:v>17.7</c:v>
                </c:pt>
                <c:pt idx="14">
                  <c:v>17.7</c:v>
                </c:pt>
                <c:pt idx="15">
                  <c:v>17.79</c:v>
                </c:pt>
                <c:pt idx="16">
                  <c:v>17.79</c:v>
                </c:pt>
                <c:pt idx="17">
                  <c:v>17.829999999999998</c:v>
                </c:pt>
                <c:pt idx="18">
                  <c:v>17.829999999999998</c:v>
                </c:pt>
                <c:pt idx="19">
                  <c:v>17.829999999999998</c:v>
                </c:pt>
                <c:pt idx="20">
                  <c:v>17.829999999999998</c:v>
                </c:pt>
                <c:pt idx="21">
                  <c:v>17.899999999999999</c:v>
                </c:pt>
                <c:pt idx="22">
                  <c:v>17.899999999999999</c:v>
                </c:pt>
                <c:pt idx="23">
                  <c:v>17.760000000000002</c:v>
                </c:pt>
                <c:pt idx="24">
                  <c:v>17.760000000000002</c:v>
                </c:pt>
                <c:pt idx="25">
                  <c:v>17.760000000000002</c:v>
                </c:pt>
                <c:pt idx="26">
                  <c:v>17.760000000000002</c:v>
                </c:pt>
                <c:pt idx="27">
                  <c:v>17.399999999999999</c:v>
                </c:pt>
                <c:pt idx="28">
                  <c:v>17.399999999999999</c:v>
                </c:pt>
                <c:pt idx="29">
                  <c:v>17.399999999999999</c:v>
                </c:pt>
                <c:pt idx="30">
                  <c:v>17.399999999999999</c:v>
                </c:pt>
                <c:pt idx="31">
                  <c:v>17.46</c:v>
                </c:pt>
                <c:pt idx="32">
                  <c:v>17.46</c:v>
                </c:pt>
                <c:pt idx="33">
                  <c:v>17.46</c:v>
                </c:pt>
                <c:pt idx="34">
                  <c:v>17.46</c:v>
                </c:pt>
                <c:pt idx="35">
                  <c:v>17.46</c:v>
                </c:pt>
              </c:numCache>
            </c:numRef>
          </c:val>
          <c:smooth val="0"/>
          <c:extLst>
            <c:ext xmlns:c16="http://schemas.microsoft.com/office/drawing/2014/chart" uri="{C3380CC4-5D6E-409C-BE32-E72D297353CC}">
              <c16:uniqueId val="{00000001-B825-47EA-8675-B8486F0F0654}"/>
            </c:ext>
          </c:extLst>
        </c:ser>
        <c:ser>
          <c:idx val="0"/>
          <c:order val="2"/>
          <c:tx>
            <c:v>PCR</c:v>
          </c:tx>
          <c:spPr>
            <a:ln w="19050" cap="rnd">
              <a:solidFill>
                <a:schemeClr val="accent1"/>
              </a:solidFill>
              <a:round/>
            </a:ln>
            <a:effectLst/>
          </c:spPr>
          <c:marker>
            <c:symbol val="circle"/>
            <c:size val="4"/>
            <c:spPr>
              <a:solidFill>
                <a:schemeClr val="lt1"/>
              </a:solidFill>
              <a:ln w="15875">
                <a:solidFill>
                  <a:schemeClr val="accent1"/>
                </a:solidFill>
                <a:round/>
              </a:ln>
              <a:effectLst/>
            </c:spPr>
          </c:marker>
          <c:cat>
            <c:numRef>
              <c:f>'BNF OI Trend'!$B$4:$B$50</c:f>
              <c:numCache>
                <c:formatCode>hhmm</c:formatCode>
                <c:ptCount val="4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Trend'!$K$4:$K$50</c:f>
              <c:numCache>
                <c:formatCode>#,##0.00</c:formatCode>
                <c:ptCount val="47"/>
                <c:pt idx="0">
                  <c:v>1.23</c:v>
                </c:pt>
                <c:pt idx="1">
                  <c:v>1.1200000000000001</c:v>
                </c:pt>
                <c:pt idx="2">
                  <c:v>1.1200000000000001</c:v>
                </c:pt>
                <c:pt idx="3">
                  <c:v>1.1000000000000001</c:v>
                </c:pt>
                <c:pt idx="4">
                  <c:v>1.1000000000000001</c:v>
                </c:pt>
                <c:pt idx="5">
                  <c:v>1.21</c:v>
                </c:pt>
                <c:pt idx="6">
                  <c:v>1.21</c:v>
                </c:pt>
                <c:pt idx="7">
                  <c:v>1.28</c:v>
                </c:pt>
                <c:pt idx="8">
                  <c:v>1.28</c:v>
                </c:pt>
                <c:pt idx="9">
                  <c:v>1.27</c:v>
                </c:pt>
                <c:pt idx="10">
                  <c:v>1.27</c:v>
                </c:pt>
                <c:pt idx="11">
                  <c:v>1.24</c:v>
                </c:pt>
                <c:pt idx="12">
                  <c:v>1.24</c:v>
                </c:pt>
                <c:pt idx="13">
                  <c:v>1.24</c:v>
                </c:pt>
                <c:pt idx="14">
                  <c:v>1.24</c:v>
                </c:pt>
                <c:pt idx="15">
                  <c:v>1.28</c:v>
                </c:pt>
                <c:pt idx="16">
                  <c:v>1.28</c:v>
                </c:pt>
                <c:pt idx="17">
                  <c:v>1.3</c:v>
                </c:pt>
                <c:pt idx="18">
                  <c:v>1.3</c:v>
                </c:pt>
                <c:pt idx="19">
                  <c:v>1.33</c:v>
                </c:pt>
                <c:pt idx="20">
                  <c:v>1.33</c:v>
                </c:pt>
                <c:pt idx="21">
                  <c:v>1.45</c:v>
                </c:pt>
                <c:pt idx="22">
                  <c:v>1.45</c:v>
                </c:pt>
                <c:pt idx="23">
                  <c:v>1.56</c:v>
                </c:pt>
                <c:pt idx="24">
                  <c:v>1.56</c:v>
                </c:pt>
                <c:pt idx="25">
                  <c:v>1.55</c:v>
                </c:pt>
                <c:pt idx="26">
                  <c:v>1.55</c:v>
                </c:pt>
                <c:pt idx="27">
                  <c:v>1.58</c:v>
                </c:pt>
                <c:pt idx="28">
                  <c:v>1.58</c:v>
                </c:pt>
                <c:pt idx="29">
                  <c:v>1.6</c:v>
                </c:pt>
                <c:pt idx="30">
                  <c:v>1.6</c:v>
                </c:pt>
                <c:pt idx="31">
                  <c:v>1.69</c:v>
                </c:pt>
                <c:pt idx="32">
                  <c:v>1.69</c:v>
                </c:pt>
                <c:pt idx="33">
                  <c:v>1.67</c:v>
                </c:pt>
                <c:pt idx="34">
                  <c:v>1.67</c:v>
                </c:pt>
                <c:pt idx="35">
                  <c:v>1.68</c:v>
                </c:pt>
              </c:numCache>
            </c:numRef>
          </c:val>
          <c:smooth val="0"/>
          <c:extLst>
            <c:ext xmlns:c16="http://schemas.microsoft.com/office/drawing/2014/chart" uri="{C3380CC4-5D6E-409C-BE32-E72D297353CC}">
              <c16:uniqueId val="{00000002-B825-47EA-8675-B8486F0F0654}"/>
            </c:ext>
          </c:extLst>
        </c:ser>
        <c:dLbls>
          <c:showLegendKey val="0"/>
          <c:showVal val="0"/>
          <c:showCatName val="0"/>
          <c:showSerName val="0"/>
          <c:showPercent val="0"/>
          <c:showBubbleSize val="0"/>
        </c:dLbls>
        <c:marker val="1"/>
        <c:smooth val="0"/>
        <c:axId val="881859192"/>
        <c:axId val="881857552"/>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CE OI Change Vs. PE OI Change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Call OI</c:v>
          </c:tx>
          <c:spPr>
            <a:ln w="22225" cap="rnd">
              <a:solidFill>
                <a:schemeClr val="accent1"/>
              </a:solidFill>
              <a:round/>
            </a:ln>
            <a:effectLst/>
          </c:spPr>
          <c:marker>
            <c:symbol val="circle"/>
            <c:size val="3"/>
            <c:spPr>
              <a:solidFill>
                <a:schemeClr val="lt1"/>
              </a:solidFill>
              <a:ln w="15875">
                <a:solidFill>
                  <a:schemeClr val="accent1"/>
                </a:solidFill>
                <a:round/>
              </a:ln>
              <a:effectLst/>
            </c:spPr>
          </c:marker>
          <c:dPt>
            <c:idx val="0"/>
            <c:marker>
              <c:symbol val="circle"/>
              <c:size val="3"/>
              <c:spPr>
                <a:solidFill>
                  <a:schemeClr val="lt1"/>
                </a:solidFill>
                <a:ln w="15875">
                  <a:solidFill>
                    <a:schemeClr val="accent1"/>
                  </a:solidFill>
                  <a:round/>
                </a:ln>
                <a:effectLst/>
              </c:spPr>
            </c:marker>
            <c:bubble3D val="0"/>
            <c:extLst>
              <c:ext xmlns:c16="http://schemas.microsoft.com/office/drawing/2014/chart" uri="{C3380CC4-5D6E-409C-BE32-E72D297353CC}">
                <c16:uniqueId val="{00000000-E541-4E1B-95B6-A0027DFCDAC9}"/>
              </c:ext>
            </c:extLst>
          </c:dPt>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Trend'!$D$4:$D$40</c:f>
              <c:numCache>
                <c:formatCode>#,##0</c:formatCode>
                <c:ptCount val="37"/>
                <c:pt idx="0">
                  <c:v>5005900</c:v>
                </c:pt>
                <c:pt idx="1">
                  <c:v>9045000</c:v>
                </c:pt>
                <c:pt idx="2">
                  <c:v>9045000</c:v>
                </c:pt>
                <c:pt idx="3">
                  <c:v>11307800</c:v>
                </c:pt>
                <c:pt idx="4">
                  <c:v>11307800</c:v>
                </c:pt>
                <c:pt idx="5">
                  <c:v>11076950</c:v>
                </c:pt>
                <c:pt idx="6">
                  <c:v>11076950</c:v>
                </c:pt>
                <c:pt idx="7">
                  <c:v>11244650</c:v>
                </c:pt>
                <c:pt idx="8">
                  <c:v>11244650</c:v>
                </c:pt>
                <c:pt idx="9">
                  <c:v>13200800</c:v>
                </c:pt>
                <c:pt idx="10">
                  <c:v>13200800</c:v>
                </c:pt>
                <c:pt idx="11">
                  <c:v>13843100</c:v>
                </c:pt>
                <c:pt idx="12">
                  <c:v>13843100</c:v>
                </c:pt>
                <c:pt idx="13">
                  <c:v>14141050</c:v>
                </c:pt>
                <c:pt idx="14">
                  <c:v>14141050</c:v>
                </c:pt>
                <c:pt idx="15">
                  <c:v>16174450</c:v>
                </c:pt>
                <c:pt idx="16">
                  <c:v>16174450</c:v>
                </c:pt>
                <c:pt idx="17">
                  <c:v>16170600</c:v>
                </c:pt>
                <c:pt idx="18">
                  <c:v>16170600</c:v>
                </c:pt>
                <c:pt idx="19">
                  <c:v>16089350</c:v>
                </c:pt>
                <c:pt idx="20">
                  <c:v>16089350</c:v>
                </c:pt>
                <c:pt idx="21">
                  <c:v>15209450</c:v>
                </c:pt>
                <c:pt idx="22">
                  <c:v>15209450</c:v>
                </c:pt>
                <c:pt idx="23">
                  <c:v>15147000</c:v>
                </c:pt>
                <c:pt idx="24">
                  <c:v>15147000</c:v>
                </c:pt>
                <c:pt idx="25">
                  <c:v>15127350</c:v>
                </c:pt>
                <c:pt idx="26">
                  <c:v>15127350</c:v>
                </c:pt>
                <c:pt idx="27">
                  <c:v>13735950</c:v>
                </c:pt>
                <c:pt idx="28">
                  <c:v>13735950</c:v>
                </c:pt>
                <c:pt idx="29">
                  <c:v>15973800</c:v>
                </c:pt>
                <c:pt idx="30">
                  <c:v>15973800</c:v>
                </c:pt>
                <c:pt idx="31">
                  <c:v>15833150</c:v>
                </c:pt>
                <c:pt idx="32">
                  <c:v>15833150</c:v>
                </c:pt>
                <c:pt idx="33">
                  <c:v>15674350</c:v>
                </c:pt>
                <c:pt idx="34">
                  <c:v>15674350</c:v>
                </c:pt>
                <c:pt idx="35">
                  <c:v>15674350</c:v>
                </c:pt>
              </c:numCache>
            </c:numRef>
          </c:val>
          <c:smooth val="1"/>
          <c:extLst>
            <c:ext xmlns:c16="http://schemas.microsoft.com/office/drawing/2014/chart" uri="{C3380CC4-5D6E-409C-BE32-E72D297353CC}">
              <c16:uniqueId val="{00000001-E541-4E1B-95B6-A0027DFCDAC9}"/>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Put OI</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Trend'!$E$4:$E$40</c:f>
              <c:numCache>
                <c:formatCode>#,##0</c:formatCode>
                <c:ptCount val="37"/>
                <c:pt idx="0">
                  <c:v>4144950</c:v>
                </c:pt>
                <c:pt idx="1">
                  <c:v>6443000</c:v>
                </c:pt>
                <c:pt idx="2">
                  <c:v>6443000</c:v>
                </c:pt>
                <c:pt idx="3">
                  <c:v>7433350</c:v>
                </c:pt>
                <c:pt idx="4">
                  <c:v>7433350</c:v>
                </c:pt>
                <c:pt idx="5">
                  <c:v>8545350</c:v>
                </c:pt>
                <c:pt idx="6">
                  <c:v>8545350</c:v>
                </c:pt>
                <c:pt idx="7">
                  <c:v>9008650</c:v>
                </c:pt>
                <c:pt idx="8">
                  <c:v>9008650</c:v>
                </c:pt>
                <c:pt idx="9">
                  <c:v>12137450</c:v>
                </c:pt>
                <c:pt idx="10">
                  <c:v>12137450</c:v>
                </c:pt>
                <c:pt idx="11">
                  <c:v>12634050</c:v>
                </c:pt>
                <c:pt idx="12">
                  <c:v>12634050</c:v>
                </c:pt>
                <c:pt idx="13">
                  <c:v>12613950</c:v>
                </c:pt>
                <c:pt idx="14">
                  <c:v>12613950</c:v>
                </c:pt>
                <c:pt idx="15">
                  <c:v>12470500</c:v>
                </c:pt>
                <c:pt idx="16">
                  <c:v>12470500</c:v>
                </c:pt>
                <c:pt idx="17">
                  <c:v>13028350</c:v>
                </c:pt>
                <c:pt idx="18">
                  <c:v>13028350</c:v>
                </c:pt>
                <c:pt idx="19">
                  <c:v>13407500</c:v>
                </c:pt>
                <c:pt idx="20">
                  <c:v>13407500</c:v>
                </c:pt>
                <c:pt idx="21">
                  <c:v>13553400</c:v>
                </c:pt>
                <c:pt idx="22">
                  <c:v>13553400</c:v>
                </c:pt>
                <c:pt idx="23">
                  <c:v>13655150</c:v>
                </c:pt>
                <c:pt idx="24">
                  <c:v>13655150</c:v>
                </c:pt>
                <c:pt idx="25">
                  <c:v>13803250</c:v>
                </c:pt>
                <c:pt idx="26">
                  <c:v>13803250</c:v>
                </c:pt>
                <c:pt idx="27">
                  <c:v>14093500</c:v>
                </c:pt>
                <c:pt idx="28">
                  <c:v>14093500</c:v>
                </c:pt>
                <c:pt idx="29">
                  <c:v>13554950</c:v>
                </c:pt>
                <c:pt idx="30">
                  <c:v>13554950</c:v>
                </c:pt>
                <c:pt idx="31">
                  <c:v>13859550</c:v>
                </c:pt>
                <c:pt idx="32">
                  <c:v>13859550</c:v>
                </c:pt>
                <c:pt idx="33">
                  <c:v>14227800</c:v>
                </c:pt>
                <c:pt idx="34">
                  <c:v>14227800</c:v>
                </c:pt>
                <c:pt idx="35">
                  <c:v>14227800</c:v>
                </c:pt>
              </c:numCache>
            </c:numRef>
          </c:val>
          <c:smooth val="1"/>
          <c:extLst>
            <c:ext xmlns:c16="http://schemas.microsoft.com/office/drawing/2014/chart" uri="{C3380CC4-5D6E-409C-BE32-E72D297353CC}">
              <c16:uniqueId val="{00000002-E541-4E1B-95B6-A0027DFCDAC9}"/>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CE OI Change Vs. PE OI Change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Call OI</c:v>
          </c:tx>
          <c:spPr>
            <a:ln w="22225" cap="rnd">
              <a:solidFill>
                <a:schemeClr val="accent1"/>
              </a:solidFill>
              <a:round/>
            </a:ln>
            <a:effectLst/>
          </c:spPr>
          <c:marker>
            <c:symbol val="circle"/>
            <c:size val="3"/>
            <c:spPr>
              <a:solidFill>
                <a:schemeClr val="lt1"/>
              </a:solidFill>
              <a:ln w="15875">
                <a:solidFill>
                  <a:schemeClr val="accent1"/>
                </a:solidFill>
                <a:round/>
              </a:ln>
              <a:effectLst/>
            </c:spPr>
          </c:marker>
          <c:dPt>
            <c:idx val="0"/>
            <c:marker>
              <c:symbol val="circle"/>
              <c:size val="3"/>
              <c:spPr>
                <a:solidFill>
                  <a:schemeClr val="lt1"/>
                </a:solidFill>
                <a:ln w="15875">
                  <a:solidFill>
                    <a:schemeClr val="accent1"/>
                  </a:solidFill>
                  <a:round/>
                </a:ln>
                <a:effectLst/>
              </c:spPr>
            </c:marker>
            <c:bubble3D val="0"/>
            <c:extLst>
              <c:ext xmlns:c16="http://schemas.microsoft.com/office/drawing/2014/chart" uri="{C3380CC4-5D6E-409C-BE32-E72D297353CC}">
                <c16:uniqueId val="{00000000-90BC-4E4D-A9DB-C21BE4FF0C7E}"/>
              </c:ext>
            </c:extLst>
          </c:dPt>
          <c:cat>
            <c:numRef>
              <c:f>'BNF OI Trend'!$B$4:$B$40</c:f>
              <c:numCache>
                <c:formatCode>hhmm</c:formatCode>
                <c:ptCount val="3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Trend'!$D$4:$D$40</c:f>
              <c:numCache>
                <c:formatCode>#,##0</c:formatCode>
                <c:ptCount val="37"/>
                <c:pt idx="0">
                  <c:v>43047500</c:v>
                </c:pt>
                <c:pt idx="1">
                  <c:v>68612000</c:v>
                </c:pt>
                <c:pt idx="2">
                  <c:v>68612000</c:v>
                </c:pt>
                <c:pt idx="3">
                  <c:v>84734000</c:v>
                </c:pt>
                <c:pt idx="4">
                  <c:v>84734000</c:v>
                </c:pt>
                <c:pt idx="5">
                  <c:v>89225000</c:v>
                </c:pt>
                <c:pt idx="6">
                  <c:v>89225000</c:v>
                </c:pt>
                <c:pt idx="7">
                  <c:v>90778500</c:v>
                </c:pt>
                <c:pt idx="8">
                  <c:v>90778500</c:v>
                </c:pt>
                <c:pt idx="9">
                  <c:v>105497000</c:v>
                </c:pt>
                <c:pt idx="10">
                  <c:v>105497000</c:v>
                </c:pt>
                <c:pt idx="11">
                  <c:v>108108000</c:v>
                </c:pt>
                <c:pt idx="12">
                  <c:v>108108000</c:v>
                </c:pt>
                <c:pt idx="13">
                  <c:v>107225500</c:v>
                </c:pt>
                <c:pt idx="14">
                  <c:v>107225500</c:v>
                </c:pt>
                <c:pt idx="15">
                  <c:v>107306000</c:v>
                </c:pt>
                <c:pt idx="16">
                  <c:v>107306000</c:v>
                </c:pt>
                <c:pt idx="17">
                  <c:v>108273500</c:v>
                </c:pt>
                <c:pt idx="18">
                  <c:v>108273500</c:v>
                </c:pt>
                <c:pt idx="19">
                  <c:v>107259500</c:v>
                </c:pt>
                <c:pt idx="20">
                  <c:v>107259500</c:v>
                </c:pt>
                <c:pt idx="21">
                  <c:v>101049000</c:v>
                </c:pt>
                <c:pt idx="22">
                  <c:v>101049000</c:v>
                </c:pt>
                <c:pt idx="23">
                  <c:v>96115500</c:v>
                </c:pt>
                <c:pt idx="24">
                  <c:v>96115500</c:v>
                </c:pt>
                <c:pt idx="25">
                  <c:v>98924500</c:v>
                </c:pt>
                <c:pt idx="26">
                  <c:v>98924500</c:v>
                </c:pt>
                <c:pt idx="27">
                  <c:v>105428500</c:v>
                </c:pt>
                <c:pt idx="28">
                  <c:v>105428500</c:v>
                </c:pt>
                <c:pt idx="29">
                  <c:v>107273000</c:v>
                </c:pt>
                <c:pt idx="30">
                  <c:v>107273000</c:v>
                </c:pt>
                <c:pt idx="31">
                  <c:v>107617000</c:v>
                </c:pt>
                <c:pt idx="32">
                  <c:v>107617000</c:v>
                </c:pt>
                <c:pt idx="33">
                  <c:v>107081000</c:v>
                </c:pt>
                <c:pt idx="34">
                  <c:v>107081000</c:v>
                </c:pt>
                <c:pt idx="35">
                  <c:v>106721500</c:v>
                </c:pt>
              </c:numCache>
            </c:numRef>
          </c:val>
          <c:smooth val="1"/>
          <c:extLst>
            <c:ext xmlns:c16="http://schemas.microsoft.com/office/drawing/2014/chart" uri="{C3380CC4-5D6E-409C-BE32-E72D297353CC}">
              <c16:uniqueId val="{00000001-90BC-4E4D-A9DB-C21BE4FF0C7E}"/>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Put OI</c:v>
          </c:tx>
          <c:spPr>
            <a:ln w="22225" cap="rnd">
              <a:solidFill>
                <a:schemeClr val="accent2"/>
              </a:solidFill>
              <a:round/>
            </a:ln>
            <a:effectLst/>
          </c:spPr>
          <c:marker>
            <c:symbol val="circle"/>
            <c:size val="3"/>
            <c:spPr>
              <a:solidFill>
                <a:schemeClr val="lt1"/>
              </a:solidFill>
              <a:ln w="15875">
                <a:solidFill>
                  <a:schemeClr val="accent2"/>
                </a:solidFill>
                <a:round/>
              </a:ln>
              <a:effectLst/>
            </c:spPr>
          </c:marker>
          <c:val>
            <c:numRef>
              <c:f>'BNF OI Trend'!$E$4:$E$40</c:f>
              <c:numCache>
                <c:formatCode>#,##0</c:formatCode>
                <c:ptCount val="37"/>
                <c:pt idx="0">
                  <c:v>35514000</c:v>
                </c:pt>
                <c:pt idx="1">
                  <c:v>50023500</c:v>
                </c:pt>
                <c:pt idx="2">
                  <c:v>50023500</c:v>
                </c:pt>
                <c:pt idx="3">
                  <c:v>67682500</c:v>
                </c:pt>
                <c:pt idx="4">
                  <c:v>67682500</c:v>
                </c:pt>
                <c:pt idx="5">
                  <c:v>72402000</c:v>
                </c:pt>
                <c:pt idx="6">
                  <c:v>72402000</c:v>
                </c:pt>
                <c:pt idx="7">
                  <c:v>75811500</c:v>
                </c:pt>
                <c:pt idx="8">
                  <c:v>75811500</c:v>
                </c:pt>
                <c:pt idx="9">
                  <c:v>83948000</c:v>
                </c:pt>
                <c:pt idx="10">
                  <c:v>83948000</c:v>
                </c:pt>
                <c:pt idx="11">
                  <c:v>84987500</c:v>
                </c:pt>
                <c:pt idx="12">
                  <c:v>84987500</c:v>
                </c:pt>
                <c:pt idx="13">
                  <c:v>82113000</c:v>
                </c:pt>
                <c:pt idx="14">
                  <c:v>82113000</c:v>
                </c:pt>
                <c:pt idx="15">
                  <c:v>83355500</c:v>
                </c:pt>
                <c:pt idx="16">
                  <c:v>83355500</c:v>
                </c:pt>
                <c:pt idx="17">
                  <c:v>85903000</c:v>
                </c:pt>
                <c:pt idx="18">
                  <c:v>85903000</c:v>
                </c:pt>
                <c:pt idx="19">
                  <c:v>86484500</c:v>
                </c:pt>
                <c:pt idx="20">
                  <c:v>86484500</c:v>
                </c:pt>
                <c:pt idx="21">
                  <c:v>93646000</c:v>
                </c:pt>
                <c:pt idx="22">
                  <c:v>93646000</c:v>
                </c:pt>
                <c:pt idx="23">
                  <c:v>104774000</c:v>
                </c:pt>
                <c:pt idx="24">
                  <c:v>104774000</c:v>
                </c:pt>
                <c:pt idx="25">
                  <c:v>106349500</c:v>
                </c:pt>
                <c:pt idx="26">
                  <c:v>106349500</c:v>
                </c:pt>
                <c:pt idx="27">
                  <c:v>115034000</c:v>
                </c:pt>
                <c:pt idx="28">
                  <c:v>115034000</c:v>
                </c:pt>
                <c:pt idx="29">
                  <c:v>116787500</c:v>
                </c:pt>
                <c:pt idx="30">
                  <c:v>116787500</c:v>
                </c:pt>
                <c:pt idx="31">
                  <c:v>121343000</c:v>
                </c:pt>
                <c:pt idx="32">
                  <c:v>121343000</c:v>
                </c:pt>
                <c:pt idx="33">
                  <c:v>123272500</c:v>
                </c:pt>
                <c:pt idx="34">
                  <c:v>123272500</c:v>
                </c:pt>
                <c:pt idx="35">
                  <c:v>124228000</c:v>
                </c:pt>
              </c:numCache>
            </c:numRef>
          </c:val>
          <c:smooth val="1"/>
          <c:extLst>
            <c:ext xmlns:c16="http://schemas.microsoft.com/office/drawing/2014/chart" uri="{C3380CC4-5D6E-409C-BE32-E72D297353CC}">
              <c16:uniqueId val="{00000002-90BC-4E4D-A9DB-C21BE4FF0C7E}"/>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OI Builtup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8.8841180566714875E-2"/>
          <c:y val="0.15986111111111112"/>
          <c:w val="0.86762140446729874"/>
          <c:h val="0.53890857392825897"/>
        </c:manualLayout>
      </c:layout>
      <c:barChart>
        <c:barDir val="col"/>
        <c:grouping val="clustered"/>
        <c:varyColors val="0"/>
        <c:ser>
          <c:idx val="0"/>
          <c:order val="0"/>
          <c:tx>
            <c:v>CALL OI</c:v>
          </c:tx>
          <c:spPr>
            <a:solidFill>
              <a:srgbClr val="CC0000"/>
            </a:solidFill>
            <a:ln>
              <a:noFill/>
            </a:ln>
            <a:effectLst/>
          </c:spPr>
          <c:invertIfNegative val="1"/>
          <c:cat>
            <c:numRef>
              <c:f>'NIFTY OI Analysis'!$I$9:$I$21</c:f>
              <c:numCache>
                <c:formatCode>General</c:formatCode>
                <c:ptCount val="13"/>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numCache>
            </c:numRef>
          </c:cat>
          <c:val>
            <c:numRef>
              <c:f>'NIFTY OI Analysis'!$C$9:$C$21</c:f>
              <c:numCache>
                <c:formatCode>General</c:formatCode>
                <c:ptCount val="13"/>
                <c:pt idx="0">
                  <c:v>4900</c:v>
                </c:pt>
                <c:pt idx="1">
                  <c:v>922</c:v>
                </c:pt>
                <c:pt idx="2">
                  <c:v>25720</c:v>
                </c:pt>
                <c:pt idx="3">
                  <c:v>3487</c:v>
                </c:pt>
                <c:pt idx="4">
                  <c:v>28641</c:v>
                </c:pt>
                <c:pt idx="5">
                  <c:v>15794</c:v>
                </c:pt>
                <c:pt idx="6">
                  <c:v>95722</c:v>
                </c:pt>
                <c:pt idx="7">
                  <c:v>29814</c:v>
                </c:pt>
                <c:pt idx="8">
                  <c:v>117090</c:v>
                </c:pt>
                <c:pt idx="9">
                  <c:v>21593</c:v>
                </c:pt>
                <c:pt idx="10">
                  <c:v>59476</c:v>
                </c:pt>
                <c:pt idx="11">
                  <c:v>27482</c:v>
                </c:pt>
                <c:pt idx="12">
                  <c:v>100288</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3D04-48A8-900D-852AF2C7F7B9}"/>
            </c:ext>
          </c:extLst>
        </c:ser>
        <c:ser>
          <c:idx val="1"/>
          <c:order val="1"/>
          <c:tx>
            <c:v>PUT OI</c:v>
          </c:tx>
          <c:spPr>
            <a:solidFill>
              <a:srgbClr val="548235"/>
            </a:solidFill>
            <a:ln>
              <a:noFill/>
            </a:ln>
            <a:effectLst/>
          </c:spPr>
          <c:invertIfNegative val="1"/>
          <c:cat>
            <c:numRef>
              <c:f>'NIFTY OI Analysis'!$I$9:$I$21</c:f>
              <c:numCache>
                <c:formatCode>General</c:formatCode>
                <c:ptCount val="13"/>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numCache>
            </c:numRef>
          </c:cat>
          <c:val>
            <c:numRef>
              <c:f>'NIFTY OI Analysis'!$O$9:$O$21</c:f>
              <c:numCache>
                <c:formatCode>General</c:formatCode>
                <c:ptCount val="13"/>
                <c:pt idx="0">
                  <c:v>62122</c:v>
                </c:pt>
                <c:pt idx="1">
                  <c:v>18334</c:v>
                </c:pt>
                <c:pt idx="2">
                  <c:v>85104</c:v>
                </c:pt>
                <c:pt idx="3">
                  <c:v>32454</c:v>
                </c:pt>
                <c:pt idx="4">
                  <c:v>73029</c:v>
                </c:pt>
                <c:pt idx="5">
                  <c:v>26595</c:v>
                </c:pt>
                <c:pt idx="6">
                  <c:v>59482</c:v>
                </c:pt>
                <c:pt idx="7">
                  <c:v>5945</c:v>
                </c:pt>
                <c:pt idx="8">
                  <c:v>18079</c:v>
                </c:pt>
                <c:pt idx="9">
                  <c:v>1675</c:v>
                </c:pt>
                <c:pt idx="10">
                  <c:v>4735</c:v>
                </c:pt>
                <c:pt idx="11">
                  <c:v>834</c:v>
                </c:pt>
                <c:pt idx="12">
                  <c:v>3780</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3D04-48A8-900D-852AF2C7F7B9}"/>
            </c:ext>
          </c:extLst>
        </c:ser>
        <c:dLbls>
          <c:showLegendKey val="0"/>
          <c:showVal val="0"/>
          <c:showCatName val="0"/>
          <c:showSerName val="0"/>
          <c:showPercent val="0"/>
          <c:showBubbleSize val="0"/>
        </c:dLbls>
        <c:gapWidth val="100"/>
        <c:overlap val="-24"/>
        <c:axId val="953719232"/>
        <c:axId val="953719560"/>
      </c:barChart>
      <c:catAx>
        <c:axId val="9537192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330000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953719560"/>
        <c:crosses val="autoZero"/>
        <c:auto val="1"/>
        <c:lblAlgn val="ctr"/>
        <c:lblOffset val="100"/>
        <c:noMultiLvlLbl val="0"/>
      </c:catAx>
      <c:valAx>
        <c:axId val="95371956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5371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OI Change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8.8841180566714875E-2"/>
          <c:y val="0.15986111111111112"/>
          <c:w val="0.86762140446729874"/>
          <c:h val="0.53890857392825897"/>
        </c:manualLayout>
      </c:layout>
      <c:barChart>
        <c:barDir val="col"/>
        <c:grouping val="clustered"/>
        <c:varyColors val="0"/>
        <c:ser>
          <c:idx val="0"/>
          <c:order val="0"/>
          <c:tx>
            <c:v>CALL OI</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1"/>
          <c:cat>
            <c:numRef>
              <c:f>'NIFTY OI Analysis'!$I$9:$I$21</c:f>
              <c:numCache>
                <c:formatCode>General</c:formatCode>
                <c:ptCount val="13"/>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numCache>
            </c:numRef>
          </c:cat>
          <c:val>
            <c:numRef>
              <c:f>'NIFTY OI Analysis'!$D$9:$D$21</c:f>
              <c:numCache>
                <c:formatCode>General</c:formatCode>
                <c:ptCount val="13"/>
                <c:pt idx="0">
                  <c:v>-904</c:v>
                </c:pt>
                <c:pt idx="1">
                  <c:v>-82</c:v>
                </c:pt>
                <c:pt idx="2">
                  <c:v>5625</c:v>
                </c:pt>
                <c:pt idx="3">
                  <c:v>150</c:v>
                </c:pt>
                <c:pt idx="4">
                  <c:v>4522</c:v>
                </c:pt>
                <c:pt idx="5">
                  <c:v>1054</c:v>
                </c:pt>
                <c:pt idx="6">
                  <c:v>21777</c:v>
                </c:pt>
                <c:pt idx="7">
                  <c:v>16932</c:v>
                </c:pt>
                <c:pt idx="8">
                  <c:v>60156</c:v>
                </c:pt>
                <c:pt idx="9">
                  <c:v>10043</c:v>
                </c:pt>
                <c:pt idx="10">
                  <c:v>20484</c:v>
                </c:pt>
                <c:pt idx="11">
                  <c:v>15825</c:v>
                </c:pt>
                <c:pt idx="12">
                  <c:v>43596</c:v>
                </c:pt>
              </c:numCache>
            </c:numRef>
          </c:val>
          <c:extLst>
            <c:ext xmlns:c16="http://schemas.microsoft.com/office/drawing/2014/chart" uri="{C3380CC4-5D6E-409C-BE32-E72D297353CC}">
              <c16:uniqueId val="{00000000-EDAD-411C-8C81-1CDBED0A8D0A}"/>
            </c:ext>
          </c:extLst>
        </c:ser>
        <c:ser>
          <c:idx val="1"/>
          <c:order val="1"/>
          <c:tx>
            <c:v>PUT OI</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1"/>
          <c:cat>
            <c:numRef>
              <c:f>'NIFTY OI Analysis'!$I$9:$I$21</c:f>
              <c:numCache>
                <c:formatCode>General</c:formatCode>
                <c:ptCount val="13"/>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numCache>
            </c:numRef>
          </c:cat>
          <c:val>
            <c:numRef>
              <c:f>'NIFTY OI Analysis'!$N$9:$N$21</c:f>
              <c:numCache>
                <c:formatCode>General</c:formatCode>
                <c:ptCount val="13"/>
                <c:pt idx="0">
                  <c:v>23648</c:v>
                </c:pt>
                <c:pt idx="1">
                  <c:v>8901</c:v>
                </c:pt>
                <c:pt idx="2">
                  <c:v>23630</c:v>
                </c:pt>
                <c:pt idx="3">
                  <c:v>5464</c:v>
                </c:pt>
                <c:pt idx="4">
                  <c:v>37048</c:v>
                </c:pt>
                <c:pt idx="5">
                  <c:v>13469</c:v>
                </c:pt>
                <c:pt idx="6">
                  <c:v>8097</c:v>
                </c:pt>
                <c:pt idx="7">
                  <c:v>2444</c:v>
                </c:pt>
                <c:pt idx="8">
                  <c:v>7006</c:v>
                </c:pt>
                <c:pt idx="9">
                  <c:v>174</c:v>
                </c:pt>
                <c:pt idx="10">
                  <c:v>2809</c:v>
                </c:pt>
                <c:pt idx="11">
                  <c:v>547</c:v>
                </c:pt>
                <c:pt idx="12">
                  <c:v>1681</c:v>
                </c:pt>
              </c:numCache>
            </c:numRef>
          </c:val>
          <c:extLst>
            <c:ext xmlns:c16="http://schemas.microsoft.com/office/drawing/2014/chart" uri="{C3380CC4-5D6E-409C-BE32-E72D297353CC}">
              <c16:uniqueId val="{00000001-EDAD-411C-8C81-1CDBED0A8D0A}"/>
            </c:ext>
          </c:extLst>
        </c:ser>
        <c:dLbls>
          <c:showLegendKey val="0"/>
          <c:showVal val="0"/>
          <c:showCatName val="0"/>
          <c:showSerName val="0"/>
          <c:showPercent val="0"/>
          <c:showBubbleSize val="0"/>
        </c:dLbls>
        <c:gapWidth val="100"/>
        <c:overlap val="-24"/>
        <c:axId val="953719232"/>
        <c:axId val="953719560"/>
      </c:barChart>
      <c:catAx>
        <c:axId val="9537192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330000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953719560"/>
        <c:crosses val="autoZero"/>
        <c:auto val="1"/>
        <c:lblAlgn val="ctr"/>
        <c:lblOffset val="100"/>
        <c:noMultiLvlLbl val="0"/>
      </c:catAx>
      <c:valAx>
        <c:axId val="95371956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5371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OI Builtup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8.8841180566714875E-2"/>
          <c:y val="0.15986111111111112"/>
          <c:w val="0.86762140446729874"/>
          <c:h val="0.53890857392825897"/>
        </c:manualLayout>
      </c:layout>
      <c:barChart>
        <c:barDir val="col"/>
        <c:grouping val="clustered"/>
        <c:varyColors val="0"/>
        <c:ser>
          <c:idx val="0"/>
          <c:order val="0"/>
          <c:tx>
            <c:v>CALL OI</c:v>
          </c:tx>
          <c:spPr>
            <a:solidFill>
              <a:srgbClr val="CC0000"/>
            </a:solidFill>
            <a:ln>
              <a:noFill/>
            </a:ln>
            <a:effectLst/>
          </c:spPr>
          <c:invertIfNegative val="1"/>
          <c:cat>
            <c:numRef>
              <c:f>'BANK NIFTY OI Analysis'!$I$9:$I$21</c:f>
              <c:numCache>
                <c:formatCode>General</c:formatCode>
                <c:ptCount val="13"/>
                <c:pt idx="0">
                  <c:v>36000</c:v>
                </c:pt>
                <c:pt idx="1">
                  <c:v>36500</c:v>
                </c:pt>
                <c:pt idx="2">
                  <c:v>37000</c:v>
                </c:pt>
                <c:pt idx="3">
                  <c:v>37500</c:v>
                </c:pt>
                <c:pt idx="4">
                  <c:v>38000</c:v>
                </c:pt>
                <c:pt idx="5">
                  <c:v>38500</c:v>
                </c:pt>
                <c:pt idx="6">
                  <c:v>39000</c:v>
                </c:pt>
                <c:pt idx="7">
                  <c:v>39500</c:v>
                </c:pt>
                <c:pt idx="8">
                  <c:v>40000</c:v>
                </c:pt>
                <c:pt idx="9">
                  <c:v>40500</c:v>
                </c:pt>
                <c:pt idx="10">
                  <c:v>41000</c:v>
                </c:pt>
                <c:pt idx="11">
                  <c:v>41500</c:v>
                </c:pt>
                <c:pt idx="12">
                  <c:v>42000</c:v>
                </c:pt>
              </c:numCache>
            </c:numRef>
          </c:cat>
          <c:val>
            <c:numRef>
              <c:f>'BANK NIFTY OI Analysis'!$C$9:$C$21</c:f>
              <c:numCache>
                <c:formatCode>General</c:formatCode>
                <c:ptCount val="13"/>
                <c:pt idx="0">
                  <c:v>477</c:v>
                </c:pt>
                <c:pt idx="1">
                  <c:v>412</c:v>
                </c:pt>
                <c:pt idx="2">
                  <c:v>1133</c:v>
                </c:pt>
                <c:pt idx="3">
                  <c:v>2252</c:v>
                </c:pt>
                <c:pt idx="4">
                  <c:v>8660</c:v>
                </c:pt>
                <c:pt idx="5">
                  <c:v>12139</c:v>
                </c:pt>
                <c:pt idx="6">
                  <c:v>74064</c:v>
                </c:pt>
                <c:pt idx="7">
                  <c:v>70508</c:v>
                </c:pt>
                <c:pt idx="8">
                  <c:v>75563</c:v>
                </c:pt>
                <c:pt idx="9">
                  <c:v>44054</c:v>
                </c:pt>
                <c:pt idx="10">
                  <c:v>45969</c:v>
                </c:pt>
                <c:pt idx="11">
                  <c:v>30220</c:v>
                </c:pt>
                <c:pt idx="12">
                  <c:v>19193</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F01E-4A81-A7E9-E785F1E73AEE}"/>
            </c:ext>
          </c:extLst>
        </c:ser>
        <c:ser>
          <c:idx val="1"/>
          <c:order val="1"/>
          <c:tx>
            <c:v>PUT OI</c:v>
          </c:tx>
          <c:spPr>
            <a:solidFill>
              <a:srgbClr val="548235"/>
            </a:solidFill>
            <a:ln>
              <a:noFill/>
            </a:ln>
            <a:effectLst/>
          </c:spPr>
          <c:invertIfNegative val="1"/>
          <c:cat>
            <c:numRef>
              <c:f>'BANK NIFTY OI Analysis'!$I$9:$I$21</c:f>
              <c:numCache>
                <c:formatCode>General</c:formatCode>
                <c:ptCount val="13"/>
                <c:pt idx="0">
                  <c:v>36000</c:v>
                </c:pt>
                <c:pt idx="1">
                  <c:v>36500</c:v>
                </c:pt>
                <c:pt idx="2">
                  <c:v>37000</c:v>
                </c:pt>
                <c:pt idx="3">
                  <c:v>37500</c:v>
                </c:pt>
                <c:pt idx="4">
                  <c:v>38000</c:v>
                </c:pt>
                <c:pt idx="5">
                  <c:v>38500</c:v>
                </c:pt>
                <c:pt idx="6">
                  <c:v>39000</c:v>
                </c:pt>
                <c:pt idx="7">
                  <c:v>39500</c:v>
                </c:pt>
                <c:pt idx="8">
                  <c:v>40000</c:v>
                </c:pt>
                <c:pt idx="9">
                  <c:v>40500</c:v>
                </c:pt>
                <c:pt idx="10">
                  <c:v>41000</c:v>
                </c:pt>
                <c:pt idx="11">
                  <c:v>41500</c:v>
                </c:pt>
                <c:pt idx="12">
                  <c:v>42000</c:v>
                </c:pt>
              </c:numCache>
            </c:numRef>
          </c:cat>
          <c:val>
            <c:numRef>
              <c:f>'BANK NIFTY OI Analysis'!$O$9:$O$21</c:f>
              <c:numCache>
                <c:formatCode>General</c:formatCode>
                <c:ptCount val="13"/>
                <c:pt idx="0">
                  <c:v>35823</c:v>
                </c:pt>
                <c:pt idx="1">
                  <c:v>27202</c:v>
                </c:pt>
                <c:pt idx="2">
                  <c:v>49203</c:v>
                </c:pt>
                <c:pt idx="3">
                  <c:v>52649</c:v>
                </c:pt>
                <c:pt idx="4">
                  <c:v>64634</c:v>
                </c:pt>
                <c:pt idx="5">
                  <c:v>55058</c:v>
                </c:pt>
                <c:pt idx="6">
                  <c:v>77709</c:v>
                </c:pt>
                <c:pt idx="7">
                  <c:v>4422</c:v>
                </c:pt>
                <c:pt idx="8">
                  <c:v>1559</c:v>
                </c:pt>
                <c:pt idx="9">
                  <c:v>297</c:v>
                </c:pt>
                <c:pt idx="10">
                  <c:v>22</c:v>
                </c:pt>
                <c:pt idx="11">
                  <c:v>3</c:v>
                </c:pt>
                <c:pt idx="12">
                  <c:v>6</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F01E-4A81-A7E9-E785F1E73AEE}"/>
            </c:ext>
          </c:extLst>
        </c:ser>
        <c:dLbls>
          <c:showLegendKey val="0"/>
          <c:showVal val="0"/>
          <c:showCatName val="0"/>
          <c:showSerName val="0"/>
          <c:showPercent val="0"/>
          <c:showBubbleSize val="0"/>
        </c:dLbls>
        <c:gapWidth val="100"/>
        <c:overlap val="-24"/>
        <c:axId val="953719232"/>
        <c:axId val="953719560"/>
      </c:barChart>
      <c:catAx>
        <c:axId val="9537192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330000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953719560"/>
        <c:crosses val="autoZero"/>
        <c:auto val="1"/>
        <c:lblAlgn val="ctr"/>
        <c:lblOffset val="100"/>
        <c:noMultiLvlLbl val="0"/>
      </c:catAx>
      <c:valAx>
        <c:axId val="95371956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5371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OI Change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8.8841180566714875E-2"/>
          <c:y val="0.15986111111111112"/>
          <c:w val="0.86762140446729874"/>
          <c:h val="0.53890857392825897"/>
        </c:manualLayout>
      </c:layout>
      <c:barChart>
        <c:barDir val="col"/>
        <c:grouping val="clustered"/>
        <c:varyColors val="0"/>
        <c:ser>
          <c:idx val="0"/>
          <c:order val="0"/>
          <c:tx>
            <c:v>CALL OI</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1"/>
          <c:cat>
            <c:numRef>
              <c:f>'BANK NIFTY OI Analysis'!$I$9:$I$21</c:f>
              <c:numCache>
                <c:formatCode>General</c:formatCode>
                <c:ptCount val="13"/>
                <c:pt idx="0">
                  <c:v>36000</c:v>
                </c:pt>
                <c:pt idx="1">
                  <c:v>36500</c:v>
                </c:pt>
                <c:pt idx="2">
                  <c:v>37000</c:v>
                </c:pt>
                <c:pt idx="3">
                  <c:v>37500</c:v>
                </c:pt>
                <c:pt idx="4">
                  <c:v>38000</c:v>
                </c:pt>
                <c:pt idx="5">
                  <c:v>38500</c:v>
                </c:pt>
                <c:pt idx="6">
                  <c:v>39000</c:v>
                </c:pt>
                <c:pt idx="7">
                  <c:v>39500</c:v>
                </c:pt>
                <c:pt idx="8">
                  <c:v>40000</c:v>
                </c:pt>
                <c:pt idx="9">
                  <c:v>40500</c:v>
                </c:pt>
                <c:pt idx="10">
                  <c:v>41000</c:v>
                </c:pt>
                <c:pt idx="11">
                  <c:v>41500</c:v>
                </c:pt>
                <c:pt idx="12">
                  <c:v>42000</c:v>
                </c:pt>
              </c:numCache>
            </c:numRef>
          </c:cat>
          <c:val>
            <c:numRef>
              <c:f>'BANK NIFTY OI Analysis'!$D$9:$D$21</c:f>
              <c:numCache>
                <c:formatCode>General</c:formatCode>
                <c:ptCount val="13"/>
                <c:pt idx="0">
                  <c:v>-23</c:v>
                </c:pt>
                <c:pt idx="1">
                  <c:v>-21</c:v>
                </c:pt>
                <c:pt idx="2">
                  <c:v>43</c:v>
                </c:pt>
                <c:pt idx="3">
                  <c:v>62</c:v>
                </c:pt>
                <c:pt idx="4">
                  <c:v>236</c:v>
                </c:pt>
                <c:pt idx="5">
                  <c:v>1151</c:v>
                </c:pt>
                <c:pt idx="6">
                  <c:v>18547</c:v>
                </c:pt>
                <c:pt idx="7">
                  <c:v>14067</c:v>
                </c:pt>
                <c:pt idx="8">
                  <c:v>34433</c:v>
                </c:pt>
                <c:pt idx="9">
                  <c:v>18312</c:v>
                </c:pt>
                <c:pt idx="10">
                  <c:v>15962</c:v>
                </c:pt>
                <c:pt idx="11">
                  <c:v>17544</c:v>
                </c:pt>
                <c:pt idx="12">
                  <c:v>7821</c:v>
                </c:pt>
              </c:numCache>
            </c:numRef>
          </c:val>
          <c:extLst>
            <c:ext xmlns:c16="http://schemas.microsoft.com/office/drawing/2014/chart" uri="{C3380CC4-5D6E-409C-BE32-E72D297353CC}">
              <c16:uniqueId val="{00000000-E957-4868-8189-E7A6ECE3F3BD}"/>
            </c:ext>
          </c:extLst>
        </c:ser>
        <c:ser>
          <c:idx val="1"/>
          <c:order val="1"/>
          <c:tx>
            <c:v>PUT OI</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1"/>
          <c:cat>
            <c:numRef>
              <c:f>'BANK NIFTY OI Analysis'!$I$9:$I$21</c:f>
              <c:numCache>
                <c:formatCode>General</c:formatCode>
                <c:ptCount val="13"/>
                <c:pt idx="0">
                  <c:v>36000</c:v>
                </c:pt>
                <c:pt idx="1">
                  <c:v>36500</c:v>
                </c:pt>
                <c:pt idx="2">
                  <c:v>37000</c:v>
                </c:pt>
                <c:pt idx="3">
                  <c:v>37500</c:v>
                </c:pt>
                <c:pt idx="4">
                  <c:v>38000</c:v>
                </c:pt>
                <c:pt idx="5">
                  <c:v>38500</c:v>
                </c:pt>
                <c:pt idx="6">
                  <c:v>39000</c:v>
                </c:pt>
                <c:pt idx="7">
                  <c:v>39500</c:v>
                </c:pt>
                <c:pt idx="8">
                  <c:v>40000</c:v>
                </c:pt>
                <c:pt idx="9">
                  <c:v>40500</c:v>
                </c:pt>
                <c:pt idx="10">
                  <c:v>41000</c:v>
                </c:pt>
                <c:pt idx="11">
                  <c:v>41500</c:v>
                </c:pt>
                <c:pt idx="12">
                  <c:v>42000</c:v>
                </c:pt>
              </c:numCache>
            </c:numRef>
          </c:cat>
          <c:val>
            <c:numRef>
              <c:f>'BANK NIFTY OI Analysis'!$N$9:$N$21</c:f>
              <c:numCache>
                <c:formatCode>General</c:formatCode>
                <c:ptCount val="13"/>
                <c:pt idx="0">
                  <c:v>17001</c:v>
                </c:pt>
                <c:pt idx="1">
                  <c:v>8741</c:v>
                </c:pt>
                <c:pt idx="2">
                  <c:v>18010</c:v>
                </c:pt>
                <c:pt idx="3">
                  <c:v>23920</c:v>
                </c:pt>
                <c:pt idx="4">
                  <c:v>16545</c:v>
                </c:pt>
                <c:pt idx="5">
                  <c:v>24593</c:v>
                </c:pt>
                <c:pt idx="6">
                  <c:v>58033</c:v>
                </c:pt>
                <c:pt idx="7">
                  <c:v>1300</c:v>
                </c:pt>
                <c:pt idx="8">
                  <c:v>896</c:v>
                </c:pt>
                <c:pt idx="9">
                  <c:v>123</c:v>
                </c:pt>
                <c:pt idx="10">
                  <c:v>15</c:v>
                </c:pt>
                <c:pt idx="11">
                  <c:v>1</c:v>
                </c:pt>
                <c:pt idx="12">
                  <c:v>3</c:v>
                </c:pt>
              </c:numCache>
            </c:numRef>
          </c:val>
          <c:extLst>
            <c:ext xmlns:c16="http://schemas.microsoft.com/office/drawing/2014/chart" uri="{C3380CC4-5D6E-409C-BE32-E72D297353CC}">
              <c16:uniqueId val="{00000001-E957-4868-8189-E7A6ECE3F3BD}"/>
            </c:ext>
          </c:extLst>
        </c:ser>
        <c:dLbls>
          <c:showLegendKey val="0"/>
          <c:showVal val="0"/>
          <c:showCatName val="0"/>
          <c:showSerName val="0"/>
          <c:showPercent val="0"/>
          <c:showBubbleSize val="0"/>
        </c:dLbls>
        <c:gapWidth val="100"/>
        <c:overlap val="-24"/>
        <c:axId val="953719232"/>
        <c:axId val="953719560"/>
      </c:barChart>
      <c:catAx>
        <c:axId val="9537192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330000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953719560"/>
        <c:crosses val="autoZero"/>
        <c:auto val="1"/>
        <c:lblAlgn val="ctr"/>
        <c:lblOffset val="100"/>
        <c:noMultiLvlLbl val="0"/>
      </c:catAx>
      <c:valAx>
        <c:axId val="95371956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5371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Nifty Change in OI Difference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NIFTY</c:v>
          </c:tx>
          <c:spPr>
            <a:ln w="22225" cap="rnd">
              <a:solidFill>
                <a:schemeClr val="accent1"/>
              </a:solidFill>
              <a:round/>
            </a:ln>
            <a:effectLst/>
          </c:spPr>
          <c:marker>
            <c:symbol val="circle"/>
            <c:size val="3"/>
            <c:spPr>
              <a:solidFill>
                <a:schemeClr val="lt1"/>
              </a:solidFill>
              <a:ln w="15875">
                <a:solidFill>
                  <a:schemeClr val="accent1"/>
                </a:solidFill>
                <a:round/>
              </a:ln>
              <a:effectLst/>
            </c:spPr>
          </c:marker>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Trend'!$C$4:$C$40</c:f>
              <c:numCache>
                <c:formatCode>General</c:formatCode>
                <c:ptCount val="37"/>
                <c:pt idx="0">
                  <c:v>17615.150000000001</c:v>
                </c:pt>
                <c:pt idx="1">
                  <c:v>17608.95</c:v>
                </c:pt>
                <c:pt idx="2">
                  <c:v>17608.95</c:v>
                </c:pt>
                <c:pt idx="3">
                  <c:v>17644.900000000001</c:v>
                </c:pt>
                <c:pt idx="4">
                  <c:v>17644.900000000001</c:v>
                </c:pt>
                <c:pt idx="5">
                  <c:v>17656.900000000001</c:v>
                </c:pt>
                <c:pt idx="6">
                  <c:v>17656.900000000001</c:v>
                </c:pt>
                <c:pt idx="7">
                  <c:v>17652.8</c:v>
                </c:pt>
                <c:pt idx="8">
                  <c:v>17652.8</c:v>
                </c:pt>
                <c:pt idx="9">
                  <c:v>17673.95</c:v>
                </c:pt>
                <c:pt idx="10">
                  <c:v>17673.95</c:v>
                </c:pt>
                <c:pt idx="11">
                  <c:v>17665.45</c:v>
                </c:pt>
                <c:pt idx="12">
                  <c:v>17665.45</c:v>
                </c:pt>
                <c:pt idx="13">
                  <c:v>17663.8</c:v>
                </c:pt>
                <c:pt idx="14">
                  <c:v>17663.8</c:v>
                </c:pt>
                <c:pt idx="15">
                  <c:v>17675.400000000001</c:v>
                </c:pt>
                <c:pt idx="16">
                  <c:v>17675.400000000001</c:v>
                </c:pt>
                <c:pt idx="17">
                  <c:v>17683.150000000001</c:v>
                </c:pt>
                <c:pt idx="18">
                  <c:v>17683.150000000001</c:v>
                </c:pt>
                <c:pt idx="19">
                  <c:v>17675.2</c:v>
                </c:pt>
                <c:pt idx="20">
                  <c:v>17675.2</c:v>
                </c:pt>
                <c:pt idx="21">
                  <c:v>17693.849999999999</c:v>
                </c:pt>
                <c:pt idx="22">
                  <c:v>17693.849999999999</c:v>
                </c:pt>
                <c:pt idx="23">
                  <c:v>17687.8</c:v>
                </c:pt>
                <c:pt idx="24">
                  <c:v>17687.8</c:v>
                </c:pt>
                <c:pt idx="25">
                  <c:v>17685.650000000001</c:v>
                </c:pt>
                <c:pt idx="26">
                  <c:v>17685.650000000001</c:v>
                </c:pt>
                <c:pt idx="27">
                  <c:v>17669.45</c:v>
                </c:pt>
                <c:pt idx="28">
                  <c:v>17669.45</c:v>
                </c:pt>
                <c:pt idx="29">
                  <c:v>17690.349999999999</c:v>
                </c:pt>
                <c:pt idx="30">
                  <c:v>17690.349999999999</c:v>
                </c:pt>
                <c:pt idx="31">
                  <c:v>17693.75</c:v>
                </c:pt>
                <c:pt idx="32">
                  <c:v>17693.75</c:v>
                </c:pt>
                <c:pt idx="33">
                  <c:v>17693.75</c:v>
                </c:pt>
                <c:pt idx="34">
                  <c:v>17693.75</c:v>
                </c:pt>
                <c:pt idx="35">
                  <c:v>17693.75</c:v>
                </c:pt>
              </c:numCache>
            </c:numRef>
          </c:val>
          <c:smooth val="0"/>
          <c:extLst>
            <c:ext xmlns:c16="http://schemas.microsoft.com/office/drawing/2014/chart" uri="{C3380CC4-5D6E-409C-BE32-E72D297353CC}">
              <c16:uniqueId val="{00000000-FD0C-4821-84E2-F18193D65074}"/>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OI Diff</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Trend'!$H$4:$H$40</c:f>
              <c:numCache>
                <c:formatCode>#,##0</c:formatCode>
                <c:ptCount val="37"/>
                <c:pt idx="0">
                  <c:v>-860950</c:v>
                </c:pt>
                <c:pt idx="1">
                  <c:v>-2602000</c:v>
                </c:pt>
                <c:pt idx="2">
                  <c:v>-2602000</c:v>
                </c:pt>
                <c:pt idx="3">
                  <c:v>-3874450</c:v>
                </c:pt>
                <c:pt idx="4">
                  <c:v>-3874450</c:v>
                </c:pt>
                <c:pt idx="5">
                  <c:v>-2531600</c:v>
                </c:pt>
                <c:pt idx="6">
                  <c:v>-2531600</c:v>
                </c:pt>
                <c:pt idx="7">
                  <c:v>-2236000</c:v>
                </c:pt>
                <c:pt idx="8">
                  <c:v>-2236000</c:v>
                </c:pt>
                <c:pt idx="9">
                  <c:v>-1063350</c:v>
                </c:pt>
                <c:pt idx="10">
                  <c:v>-1063350</c:v>
                </c:pt>
                <c:pt idx="11">
                  <c:v>-1209050</c:v>
                </c:pt>
                <c:pt idx="12">
                  <c:v>-1209050</c:v>
                </c:pt>
                <c:pt idx="13">
                  <c:v>-1527100</c:v>
                </c:pt>
                <c:pt idx="14">
                  <c:v>-1527100</c:v>
                </c:pt>
                <c:pt idx="15">
                  <c:v>-3703950</c:v>
                </c:pt>
                <c:pt idx="16">
                  <c:v>-3703950</c:v>
                </c:pt>
                <c:pt idx="17">
                  <c:v>-3142250</c:v>
                </c:pt>
                <c:pt idx="18">
                  <c:v>-3142250</c:v>
                </c:pt>
                <c:pt idx="19">
                  <c:v>-2681850</c:v>
                </c:pt>
                <c:pt idx="20">
                  <c:v>-2681850</c:v>
                </c:pt>
                <c:pt idx="21">
                  <c:v>-1656050</c:v>
                </c:pt>
                <c:pt idx="22">
                  <c:v>-1656050</c:v>
                </c:pt>
                <c:pt idx="23">
                  <c:v>-1491850</c:v>
                </c:pt>
                <c:pt idx="24">
                  <c:v>-1491850</c:v>
                </c:pt>
                <c:pt idx="25">
                  <c:v>-1324100</c:v>
                </c:pt>
                <c:pt idx="26">
                  <c:v>-1324100</c:v>
                </c:pt>
                <c:pt idx="27">
                  <c:v>357550</c:v>
                </c:pt>
                <c:pt idx="28">
                  <c:v>357550</c:v>
                </c:pt>
                <c:pt idx="29">
                  <c:v>-2418850</c:v>
                </c:pt>
                <c:pt idx="30">
                  <c:v>-2418850</c:v>
                </c:pt>
                <c:pt idx="31">
                  <c:v>-1973600</c:v>
                </c:pt>
                <c:pt idx="32">
                  <c:v>-1973600</c:v>
                </c:pt>
                <c:pt idx="33">
                  <c:v>-1446550</c:v>
                </c:pt>
                <c:pt idx="34">
                  <c:v>-1446550</c:v>
                </c:pt>
                <c:pt idx="35">
                  <c:v>-1446550</c:v>
                </c:pt>
              </c:numCache>
            </c:numRef>
          </c:val>
          <c:smooth val="0"/>
          <c:extLst>
            <c:ext xmlns:c16="http://schemas.microsoft.com/office/drawing/2014/chart" uri="{C3380CC4-5D6E-409C-BE32-E72D297353CC}">
              <c16:uniqueId val="{00000001-FD0C-4821-84E2-F18193D65074}"/>
            </c:ext>
          </c:extLst>
        </c:ser>
        <c:ser>
          <c:idx val="2"/>
          <c:order val="2"/>
          <c:tx>
            <c:v>CE Volume</c:v>
          </c:tx>
          <c:spPr>
            <a:ln w="22225" cap="rnd">
              <a:solidFill>
                <a:schemeClr val="accent3"/>
              </a:solidFill>
              <a:round/>
            </a:ln>
            <a:effectLst/>
          </c:spPr>
          <c:marker>
            <c:symbol val="none"/>
          </c:marker>
          <c:val>
            <c:numRef>
              <c:f>'NIFTY OI Trend'!$F$4:$F$40</c:f>
              <c:numCache>
                <c:formatCode>#,##0</c:formatCode>
                <c:ptCount val="37"/>
                <c:pt idx="0">
                  <c:v>590759</c:v>
                </c:pt>
                <c:pt idx="1">
                  <c:v>929401</c:v>
                </c:pt>
                <c:pt idx="2">
                  <c:v>929401</c:v>
                </c:pt>
                <c:pt idx="3">
                  <c:v>1437821</c:v>
                </c:pt>
                <c:pt idx="4">
                  <c:v>1437821</c:v>
                </c:pt>
                <c:pt idx="5">
                  <c:v>1781380</c:v>
                </c:pt>
                <c:pt idx="6">
                  <c:v>1781380</c:v>
                </c:pt>
                <c:pt idx="7">
                  <c:v>1844058</c:v>
                </c:pt>
                <c:pt idx="8">
                  <c:v>1844058</c:v>
                </c:pt>
                <c:pt idx="9">
                  <c:v>2729602</c:v>
                </c:pt>
                <c:pt idx="10">
                  <c:v>2729602</c:v>
                </c:pt>
                <c:pt idx="11">
                  <c:v>2953385</c:v>
                </c:pt>
                <c:pt idx="12">
                  <c:v>2953385</c:v>
                </c:pt>
                <c:pt idx="13">
                  <c:v>3224000</c:v>
                </c:pt>
                <c:pt idx="14">
                  <c:v>3224000</c:v>
                </c:pt>
                <c:pt idx="15">
                  <c:v>3772463</c:v>
                </c:pt>
                <c:pt idx="16">
                  <c:v>3772463</c:v>
                </c:pt>
                <c:pt idx="17">
                  <c:v>3935270</c:v>
                </c:pt>
                <c:pt idx="18">
                  <c:v>3935270</c:v>
                </c:pt>
                <c:pt idx="19">
                  <c:v>4065573</c:v>
                </c:pt>
                <c:pt idx="20">
                  <c:v>4065573</c:v>
                </c:pt>
                <c:pt idx="21">
                  <c:v>4384184</c:v>
                </c:pt>
                <c:pt idx="22">
                  <c:v>4384184</c:v>
                </c:pt>
                <c:pt idx="23">
                  <c:v>4559457</c:v>
                </c:pt>
                <c:pt idx="24">
                  <c:v>4559457</c:v>
                </c:pt>
                <c:pt idx="25">
                  <c:v>4686716</c:v>
                </c:pt>
                <c:pt idx="26">
                  <c:v>4686716</c:v>
                </c:pt>
                <c:pt idx="27">
                  <c:v>4657839</c:v>
                </c:pt>
                <c:pt idx="28">
                  <c:v>4657839</c:v>
                </c:pt>
                <c:pt idx="29">
                  <c:v>5370488</c:v>
                </c:pt>
                <c:pt idx="30">
                  <c:v>5370488</c:v>
                </c:pt>
                <c:pt idx="31">
                  <c:v>5518953</c:v>
                </c:pt>
                <c:pt idx="32">
                  <c:v>5518953</c:v>
                </c:pt>
                <c:pt idx="33">
                  <c:v>5576872</c:v>
                </c:pt>
                <c:pt idx="34">
                  <c:v>5576872</c:v>
                </c:pt>
                <c:pt idx="35">
                  <c:v>5576872</c:v>
                </c:pt>
              </c:numCache>
            </c:numRef>
          </c:val>
          <c:smooth val="0"/>
          <c:extLst>
            <c:ext xmlns:c16="http://schemas.microsoft.com/office/drawing/2014/chart" uri="{C3380CC4-5D6E-409C-BE32-E72D297353CC}">
              <c16:uniqueId val="{00000000-720D-4433-8A76-721B1132756B}"/>
            </c:ext>
          </c:extLst>
        </c:ser>
        <c:ser>
          <c:idx val="3"/>
          <c:order val="3"/>
          <c:tx>
            <c:v>PE Volume</c:v>
          </c:tx>
          <c:spPr>
            <a:ln w="22225" cap="rnd">
              <a:solidFill>
                <a:schemeClr val="accent4"/>
              </a:solidFill>
              <a:round/>
            </a:ln>
            <a:effectLst/>
          </c:spPr>
          <c:marker>
            <c:symbol val="none"/>
          </c:marker>
          <c:val>
            <c:numRef>
              <c:f>'NIFTY OI Trend'!$G$4:$G$40</c:f>
              <c:numCache>
                <c:formatCode>#,##0</c:formatCode>
                <c:ptCount val="37"/>
                <c:pt idx="0">
                  <c:v>660487</c:v>
                </c:pt>
                <c:pt idx="1">
                  <c:v>1032743</c:v>
                </c:pt>
                <c:pt idx="2">
                  <c:v>1032743</c:v>
                </c:pt>
                <c:pt idx="3">
                  <c:v>1408010</c:v>
                </c:pt>
                <c:pt idx="4">
                  <c:v>1408010</c:v>
                </c:pt>
                <c:pt idx="5">
                  <c:v>1692837</c:v>
                </c:pt>
                <c:pt idx="6">
                  <c:v>1692837</c:v>
                </c:pt>
                <c:pt idx="7">
                  <c:v>1738073</c:v>
                </c:pt>
                <c:pt idx="8">
                  <c:v>1738073</c:v>
                </c:pt>
                <c:pt idx="9">
                  <c:v>2451194</c:v>
                </c:pt>
                <c:pt idx="10">
                  <c:v>2451194</c:v>
                </c:pt>
                <c:pt idx="11">
                  <c:v>2640205</c:v>
                </c:pt>
                <c:pt idx="12">
                  <c:v>2640205</c:v>
                </c:pt>
                <c:pt idx="13">
                  <c:v>2897335</c:v>
                </c:pt>
                <c:pt idx="14">
                  <c:v>2897335</c:v>
                </c:pt>
                <c:pt idx="15">
                  <c:v>2914162</c:v>
                </c:pt>
                <c:pt idx="16">
                  <c:v>2914162</c:v>
                </c:pt>
                <c:pt idx="17">
                  <c:v>3047080</c:v>
                </c:pt>
                <c:pt idx="18">
                  <c:v>3047080</c:v>
                </c:pt>
                <c:pt idx="19">
                  <c:v>3151582</c:v>
                </c:pt>
                <c:pt idx="20">
                  <c:v>3151582</c:v>
                </c:pt>
                <c:pt idx="21">
                  <c:v>3398691</c:v>
                </c:pt>
                <c:pt idx="22">
                  <c:v>3398691</c:v>
                </c:pt>
                <c:pt idx="23">
                  <c:v>3532049</c:v>
                </c:pt>
                <c:pt idx="24">
                  <c:v>3532049</c:v>
                </c:pt>
                <c:pt idx="25">
                  <c:v>3634956</c:v>
                </c:pt>
                <c:pt idx="26">
                  <c:v>3634956</c:v>
                </c:pt>
                <c:pt idx="27">
                  <c:v>4187205</c:v>
                </c:pt>
                <c:pt idx="28">
                  <c:v>4187205</c:v>
                </c:pt>
                <c:pt idx="29">
                  <c:v>4180725</c:v>
                </c:pt>
                <c:pt idx="30">
                  <c:v>4180725</c:v>
                </c:pt>
                <c:pt idx="31">
                  <c:v>4293885</c:v>
                </c:pt>
                <c:pt idx="32">
                  <c:v>4293885</c:v>
                </c:pt>
                <c:pt idx="33">
                  <c:v>4340635</c:v>
                </c:pt>
                <c:pt idx="34">
                  <c:v>4340635</c:v>
                </c:pt>
                <c:pt idx="35">
                  <c:v>4340635</c:v>
                </c:pt>
              </c:numCache>
            </c:numRef>
          </c:val>
          <c:smooth val="0"/>
          <c:extLst>
            <c:ext xmlns:c16="http://schemas.microsoft.com/office/drawing/2014/chart" uri="{C3380CC4-5D6E-409C-BE32-E72D297353CC}">
              <c16:uniqueId val="{00000001-720D-4433-8A76-721B1132756B}"/>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CE OI Change Vs. PE OI Change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Call OI</c:v>
          </c:tx>
          <c:spPr>
            <a:ln w="22225" cap="rnd">
              <a:solidFill>
                <a:schemeClr val="accent1"/>
              </a:solidFill>
              <a:round/>
            </a:ln>
            <a:effectLst/>
          </c:spPr>
          <c:marker>
            <c:symbol val="circle"/>
            <c:size val="3"/>
            <c:spPr>
              <a:solidFill>
                <a:schemeClr val="lt1"/>
              </a:solidFill>
              <a:ln w="15875">
                <a:solidFill>
                  <a:schemeClr val="accent1"/>
                </a:solidFill>
                <a:round/>
              </a:ln>
              <a:effectLst/>
            </c:spPr>
          </c:marker>
          <c:dPt>
            <c:idx val="0"/>
            <c:marker>
              <c:symbol val="circle"/>
              <c:size val="3"/>
              <c:spPr>
                <a:solidFill>
                  <a:schemeClr val="lt1"/>
                </a:solidFill>
                <a:ln w="15875">
                  <a:solidFill>
                    <a:schemeClr val="accent1"/>
                  </a:solidFill>
                  <a:round/>
                </a:ln>
                <a:effectLst/>
              </c:spPr>
            </c:marker>
            <c:bubble3D val="0"/>
            <c:extLst>
              <c:ext xmlns:c16="http://schemas.microsoft.com/office/drawing/2014/chart" uri="{C3380CC4-5D6E-409C-BE32-E72D297353CC}">
                <c16:uniqueId val="{00000000-78DF-4E84-AD35-93AA46870003}"/>
              </c:ext>
            </c:extLst>
          </c:dPt>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Trend'!$D$4:$D$40</c:f>
              <c:numCache>
                <c:formatCode>#,##0</c:formatCode>
                <c:ptCount val="37"/>
                <c:pt idx="0">
                  <c:v>5005900</c:v>
                </c:pt>
                <c:pt idx="1">
                  <c:v>9045000</c:v>
                </c:pt>
                <c:pt idx="2">
                  <c:v>9045000</c:v>
                </c:pt>
                <c:pt idx="3">
                  <c:v>11307800</c:v>
                </c:pt>
                <c:pt idx="4">
                  <c:v>11307800</c:v>
                </c:pt>
                <c:pt idx="5">
                  <c:v>11076950</c:v>
                </c:pt>
                <c:pt idx="6">
                  <c:v>11076950</c:v>
                </c:pt>
                <c:pt idx="7">
                  <c:v>11244650</c:v>
                </c:pt>
                <c:pt idx="8">
                  <c:v>11244650</c:v>
                </c:pt>
                <c:pt idx="9">
                  <c:v>13200800</c:v>
                </c:pt>
                <c:pt idx="10">
                  <c:v>13200800</c:v>
                </c:pt>
                <c:pt idx="11">
                  <c:v>13843100</c:v>
                </c:pt>
                <c:pt idx="12">
                  <c:v>13843100</c:v>
                </c:pt>
                <c:pt idx="13">
                  <c:v>14141050</c:v>
                </c:pt>
                <c:pt idx="14">
                  <c:v>14141050</c:v>
                </c:pt>
                <c:pt idx="15">
                  <c:v>16174450</c:v>
                </c:pt>
                <c:pt idx="16">
                  <c:v>16174450</c:v>
                </c:pt>
                <c:pt idx="17">
                  <c:v>16170600</c:v>
                </c:pt>
                <c:pt idx="18">
                  <c:v>16170600</c:v>
                </c:pt>
                <c:pt idx="19">
                  <c:v>16089350</c:v>
                </c:pt>
                <c:pt idx="20">
                  <c:v>16089350</c:v>
                </c:pt>
                <c:pt idx="21">
                  <c:v>15209450</c:v>
                </c:pt>
                <c:pt idx="22">
                  <c:v>15209450</c:v>
                </c:pt>
                <c:pt idx="23">
                  <c:v>15147000</c:v>
                </c:pt>
                <c:pt idx="24">
                  <c:v>15147000</c:v>
                </c:pt>
                <c:pt idx="25">
                  <c:v>15127350</c:v>
                </c:pt>
                <c:pt idx="26">
                  <c:v>15127350</c:v>
                </c:pt>
                <c:pt idx="27">
                  <c:v>13735950</c:v>
                </c:pt>
                <c:pt idx="28">
                  <c:v>13735950</c:v>
                </c:pt>
                <c:pt idx="29">
                  <c:v>15973800</c:v>
                </c:pt>
                <c:pt idx="30">
                  <c:v>15973800</c:v>
                </c:pt>
                <c:pt idx="31">
                  <c:v>15833150</c:v>
                </c:pt>
                <c:pt idx="32">
                  <c:v>15833150</c:v>
                </c:pt>
                <c:pt idx="33">
                  <c:v>15674350</c:v>
                </c:pt>
                <c:pt idx="34">
                  <c:v>15674350</c:v>
                </c:pt>
                <c:pt idx="35">
                  <c:v>15674350</c:v>
                </c:pt>
              </c:numCache>
            </c:numRef>
          </c:val>
          <c:smooth val="1"/>
          <c:extLst>
            <c:ext xmlns:c16="http://schemas.microsoft.com/office/drawing/2014/chart" uri="{C3380CC4-5D6E-409C-BE32-E72D297353CC}">
              <c16:uniqueId val="{00000001-78DF-4E84-AD35-93AA46870003}"/>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Put OI</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'NIFTY OI Trend'!$B$4:$B$40</c:f>
              <c:numCache>
                <c:formatCode>hhmm</c:formatCode>
                <c:ptCount val="3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Trend'!$E$4:$E$40</c:f>
              <c:numCache>
                <c:formatCode>#,##0</c:formatCode>
                <c:ptCount val="37"/>
                <c:pt idx="0">
                  <c:v>4144950</c:v>
                </c:pt>
                <c:pt idx="1">
                  <c:v>6443000</c:v>
                </c:pt>
                <c:pt idx="2">
                  <c:v>6443000</c:v>
                </c:pt>
                <c:pt idx="3">
                  <c:v>7433350</c:v>
                </c:pt>
                <c:pt idx="4">
                  <c:v>7433350</c:v>
                </c:pt>
                <c:pt idx="5">
                  <c:v>8545350</c:v>
                </c:pt>
                <c:pt idx="6">
                  <c:v>8545350</c:v>
                </c:pt>
                <c:pt idx="7">
                  <c:v>9008650</c:v>
                </c:pt>
                <c:pt idx="8">
                  <c:v>9008650</c:v>
                </c:pt>
                <c:pt idx="9">
                  <c:v>12137450</c:v>
                </c:pt>
                <c:pt idx="10">
                  <c:v>12137450</c:v>
                </c:pt>
                <c:pt idx="11">
                  <c:v>12634050</c:v>
                </c:pt>
                <c:pt idx="12">
                  <c:v>12634050</c:v>
                </c:pt>
                <c:pt idx="13">
                  <c:v>12613950</c:v>
                </c:pt>
                <c:pt idx="14">
                  <c:v>12613950</c:v>
                </c:pt>
                <c:pt idx="15">
                  <c:v>12470500</c:v>
                </c:pt>
                <c:pt idx="16">
                  <c:v>12470500</c:v>
                </c:pt>
                <c:pt idx="17">
                  <c:v>13028350</c:v>
                </c:pt>
                <c:pt idx="18">
                  <c:v>13028350</c:v>
                </c:pt>
                <c:pt idx="19">
                  <c:v>13407500</c:v>
                </c:pt>
                <c:pt idx="20">
                  <c:v>13407500</c:v>
                </c:pt>
                <c:pt idx="21">
                  <c:v>13553400</c:v>
                </c:pt>
                <c:pt idx="22">
                  <c:v>13553400</c:v>
                </c:pt>
                <c:pt idx="23">
                  <c:v>13655150</c:v>
                </c:pt>
                <c:pt idx="24">
                  <c:v>13655150</c:v>
                </c:pt>
                <c:pt idx="25">
                  <c:v>13803250</c:v>
                </c:pt>
                <c:pt idx="26">
                  <c:v>13803250</c:v>
                </c:pt>
                <c:pt idx="27">
                  <c:v>14093500</c:v>
                </c:pt>
                <c:pt idx="28">
                  <c:v>14093500</c:v>
                </c:pt>
                <c:pt idx="29">
                  <c:v>13554950</c:v>
                </c:pt>
                <c:pt idx="30">
                  <c:v>13554950</c:v>
                </c:pt>
                <c:pt idx="31">
                  <c:v>13859550</c:v>
                </c:pt>
                <c:pt idx="32">
                  <c:v>13859550</c:v>
                </c:pt>
                <c:pt idx="33">
                  <c:v>14227800</c:v>
                </c:pt>
                <c:pt idx="34">
                  <c:v>14227800</c:v>
                </c:pt>
                <c:pt idx="35">
                  <c:v>14227800</c:v>
                </c:pt>
              </c:numCache>
            </c:numRef>
          </c:val>
          <c:smooth val="1"/>
          <c:extLst>
            <c:ext xmlns:c16="http://schemas.microsoft.com/office/drawing/2014/chart" uri="{C3380CC4-5D6E-409C-BE32-E72D297353CC}">
              <c16:uniqueId val="{00000002-78DF-4E84-AD35-93AA46870003}"/>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Nifty CE</a:t>
            </a:r>
            <a:r>
              <a:rPr lang="en-IN" baseline="0"/>
              <a:t> PE IV &amp; PCR Change</a:t>
            </a:r>
            <a:endParaRPr lang="en-IN"/>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1"/>
          <c:order val="0"/>
          <c:tx>
            <c:v>CE IV</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'NIFTY OI Trend'!$B$4:$B$50</c:f>
              <c:numCache>
                <c:formatCode>hhmm</c:formatCode>
                <c:ptCount val="4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Trend'!$I$4:$I$50</c:f>
              <c:numCache>
                <c:formatCode>#,##0.00</c:formatCode>
                <c:ptCount val="47"/>
                <c:pt idx="0">
                  <c:v>12.14</c:v>
                </c:pt>
                <c:pt idx="1">
                  <c:v>12.1</c:v>
                </c:pt>
                <c:pt idx="2">
                  <c:v>12.1</c:v>
                </c:pt>
                <c:pt idx="3">
                  <c:v>11.28</c:v>
                </c:pt>
                <c:pt idx="4">
                  <c:v>11.28</c:v>
                </c:pt>
                <c:pt idx="5">
                  <c:v>11.41</c:v>
                </c:pt>
                <c:pt idx="6">
                  <c:v>11.41</c:v>
                </c:pt>
                <c:pt idx="7">
                  <c:v>11.65</c:v>
                </c:pt>
                <c:pt idx="8">
                  <c:v>11.65</c:v>
                </c:pt>
                <c:pt idx="9">
                  <c:v>11.52</c:v>
                </c:pt>
                <c:pt idx="10">
                  <c:v>11.52</c:v>
                </c:pt>
                <c:pt idx="11">
                  <c:v>11.6</c:v>
                </c:pt>
                <c:pt idx="12">
                  <c:v>11.6</c:v>
                </c:pt>
                <c:pt idx="13">
                  <c:v>11.54</c:v>
                </c:pt>
                <c:pt idx="14">
                  <c:v>11.54</c:v>
                </c:pt>
                <c:pt idx="15">
                  <c:v>11.14</c:v>
                </c:pt>
                <c:pt idx="16">
                  <c:v>11.14</c:v>
                </c:pt>
                <c:pt idx="17">
                  <c:v>10.86</c:v>
                </c:pt>
                <c:pt idx="18">
                  <c:v>10.86</c:v>
                </c:pt>
                <c:pt idx="19">
                  <c:v>10.92</c:v>
                </c:pt>
                <c:pt idx="20">
                  <c:v>10.92</c:v>
                </c:pt>
                <c:pt idx="21">
                  <c:v>10.78</c:v>
                </c:pt>
                <c:pt idx="22">
                  <c:v>10.78</c:v>
                </c:pt>
                <c:pt idx="23">
                  <c:v>10.79</c:v>
                </c:pt>
                <c:pt idx="24">
                  <c:v>10.79</c:v>
                </c:pt>
                <c:pt idx="25">
                  <c:v>10.79</c:v>
                </c:pt>
                <c:pt idx="26">
                  <c:v>10.79</c:v>
                </c:pt>
                <c:pt idx="27">
                  <c:v>10.69</c:v>
                </c:pt>
                <c:pt idx="28">
                  <c:v>10.69</c:v>
                </c:pt>
                <c:pt idx="29">
                  <c:v>10.8</c:v>
                </c:pt>
                <c:pt idx="30">
                  <c:v>10.8</c:v>
                </c:pt>
                <c:pt idx="31">
                  <c:v>10.58</c:v>
                </c:pt>
                <c:pt idx="32">
                  <c:v>10.58</c:v>
                </c:pt>
                <c:pt idx="33">
                  <c:v>10.58</c:v>
                </c:pt>
                <c:pt idx="34">
                  <c:v>10.58</c:v>
                </c:pt>
                <c:pt idx="35">
                  <c:v>10.58</c:v>
                </c:pt>
              </c:numCache>
            </c:numRef>
          </c:val>
          <c:smooth val="0"/>
          <c:extLst>
            <c:ext xmlns:c16="http://schemas.microsoft.com/office/drawing/2014/chart" uri="{C3380CC4-5D6E-409C-BE32-E72D297353CC}">
              <c16:uniqueId val="{00000000-59FE-4C96-A241-3BC78BF3874E}"/>
            </c:ext>
          </c:extLst>
        </c:ser>
        <c:ser>
          <c:idx val="3"/>
          <c:order val="1"/>
          <c:tx>
            <c:v>PE IV</c:v>
          </c:tx>
          <c:spPr>
            <a:ln w="22225" cap="rnd">
              <a:solidFill>
                <a:schemeClr val="accent4"/>
              </a:solidFill>
              <a:round/>
            </a:ln>
            <a:effectLst/>
          </c:spPr>
          <c:marker>
            <c:symbol val="diamond"/>
            <c:size val="3"/>
            <c:spPr>
              <a:solidFill>
                <a:schemeClr val="lt1"/>
              </a:solidFill>
              <a:ln w="15875">
                <a:solidFill>
                  <a:schemeClr val="accent4"/>
                </a:solidFill>
                <a:round/>
              </a:ln>
              <a:effectLst/>
            </c:spPr>
          </c:marker>
          <c:cat>
            <c:numRef>
              <c:f>'NIFTY OI Trend'!$B$4:$B$50</c:f>
              <c:numCache>
                <c:formatCode>hhmm</c:formatCode>
                <c:ptCount val="4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Trend'!$J$4:$J$50</c:f>
              <c:numCache>
                <c:formatCode>#,##0.00</c:formatCode>
                <c:ptCount val="47"/>
                <c:pt idx="0">
                  <c:v>14.48</c:v>
                </c:pt>
                <c:pt idx="1">
                  <c:v>14.36</c:v>
                </c:pt>
                <c:pt idx="2">
                  <c:v>14.36</c:v>
                </c:pt>
                <c:pt idx="3">
                  <c:v>14.67</c:v>
                </c:pt>
                <c:pt idx="4">
                  <c:v>14.67</c:v>
                </c:pt>
                <c:pt idx="5">
                  <c:v>14.64</c:v>
                </c:pt>
                <c:pt idx="6">
                  <c:v>14.64</c:v>
                </c:pt>
                <c:pt idx="7">
                  <c:v>14.41</c:v>
                </c:pt>
                <c:pt idx="8">
                  <c:v>14.41</c:v>
                </c:pt>
                <c:pt idx="9">
                  <c:v>14.21</c:v>
                </c:pt>
                <c:pt idx="10">
                  <c:v>14.21</c:v>
                </c:pt>
                <c:pt idx="11">
                  <c:v>13.89</c:v>
                </c:pt>
                <c:pt idx="12">
                  <c:v>13.89</c:v>
                </c:pt>
                <c:pt idx="13">
                  <c:v>14.01</c:v>
                </c:pt>
                <c:pt idx="14">
                  <c:v>14.01</c:v>
                </c:pt>
                <c:pt idx="15">
                  <c:v>13.98</c:v>
                </c:pt>
                <c:pt idx="16">
                  <c:v>13.98</c:v>
                </c:pt>
                <c:pt idx="17">
                  <c:v>14.12</c:v>
                </c:pt>
                <c:pt idx="18">
                  <c:v>14.12</c:v>
                </c:pt>
                <c:pt idx="19">
                  <c:v>14.04</c:v>
                </c:pt>
                <c:pt idx="20">
                  <c:v>14.04</c:v>
                </c:pt>
                <c:pt idx="21">
                  <c:v>13.91</c:v>
                </c:pt>
                <c:pt idx="22">
                  <c:v>13.91</c:v>
                </c:pt>
                <c:pt idx="23">
                  <c:v>14.02</c:v>
                </c:pt>
                <c:pt idx="24">
                  <c:v>14.02</c:v>
                </c:pt>
                <c:pt idx="25">
                  <c:v>14.02</c:v>
                </c:pt>
                <c:pt idx="26">
                  <c:v>14.02</c:v>
                </c:pt>
                <c:pt idx="27">
                  <c:v>13.92</c:v>
                </c:pt>
                <c:pt idx="28">
                  <c:v>13.92</c:v>
                </c:pt>
                <c:pt idx="29">
                  <c:v>13.92</c:v>
                </c:pt>
                <c:pt idx="30">
                  <c:v>13.92</c:v>
                </c:pt>
                <c:pt idx="31">
                  <c:v>13.79</c:v>
                </c:pt>
                <c:pt idx="32">
                  <c:v>13.79</c:v>
                </c:pt>
                <c:pt idx="33">
                  <c:v>13.79</c:v>
                </c:pt>
                <c:pt idx="34">
                  <c:v>13.79</c:v>
                </c:pt>
                <c:pt idx="35">
                  <c:v>13.79</c:v>
                </c:pt>
              </c:numCache>
            </c:numRef>
          </c:val>
          <c:smooth val="0"/>
          <c:extLst>
            <c:ext xmlns:c16="http://schemas.microsoft.com/office/drawing/2014/chart" uri="{C3380CC4-5D6E-409C-BE32-E72D297353CC}">
              <c16:uniqueId val="{00000001-59FE-4C96-A241-3BC78BF3874E}"/>
            </c:ext>
          </c:extLst>
        </c:ser>
        <c:ser>
          <c:idx val="0"/>
          <c:order val="2"/>
          <c:tx>
            <c:v>PCR</c:v>
          </c:tx>
          <c:spPr>
            <a:ln w="19050" cap="rnd">
              <a:solidFill>
                <a:schemeClr val="accent1"/>
              </a:solidFill>
              <a:round/>
            </a:ln>
            <a:effectLst/>
          </c:spPr>
          <c:marker>
            <c:symbol val="circle"/>
            <c:size val="4"/>
            <c:spPr>
              <a:solidFill>
                <a:schemeClr val="lt1"/>
              </a:solidFill>
              <a:ln w="15875">
                <a:solidFill>
                  <a:schemeClr val="accent1"/>
                </a:solidFill>
                <a:round/>
              </a:ln>
              <a:effectLst/>
            </c:spPr>
          </c:marker>
          <c:cat>
            <c:numRef>
              <c:f>'NIFTY OI Trend'!$B$4:$B$50</c:f>
              <c:numCache>
                <c:formatCode>hhmm</c:formatCode>
                <c:ptCount val="47"/>
                <c:pt idx="0">
                  <c:v>44785.395616087961</c:v>
                </c:pt>
                <c:pt idx="1">
                  <c:v>44785.401045949075</c:v>
                </c:pt>
                <c:pt idx="2">
                  <c:v>44785.402466898151</c:v>
                </c:pt>
                <c:pt idx="3">
                  <c:v>44785.409305324072</c:v>
                </c:pt>
                <c:pt idx="4">
                  <c:v>44785.409412152774</c:v>
                </c:pt>
                <c:pt idx="5">
                  <c:v>44785.415505787038</c:v>
                </c:pt>
                <c:pt idx="6">
                  <c:v>44785.416360648145</c:v>
                </c:pt>
                <c:pt idx="7">
                  <c:v>44785.419617129628</c:v>
                </c:pt>
                <c:pt idx="8">
                  <c:v>44785.434412152776</c:v>
                </c:pt>
                <c:pt idx="9">
                  <c:v>44785.440301273149</c:v>
                </c:pt>
                <c:pt idx="10">
                  <c:v>44785.441361342593</c:v>
                </c:pt>
                <c:pt idx="11">
                  <c:v>44785.446493171294</c:v>
                </c:pt>
                <c:pt idx="12">
                  <c:v>44785.448305439815</c:v>
                </c:pt>
                <c:pt idx="13">
                  <c:v>44785.454775231483</c:v>
                </c:pt>
                <c:pt idx="14">
                  <c:v>44785.455254282409</c:v>
                </c:pt>
                <c:pt idx="15">
                  <c:v>44785.460983680554</c:v>
                </c:pt>
                <c:pt idx="16">
                  <c:v>44785.462217129629</c:v>
                </c:pt>
                <c:pt idx="17">
                  <c:v>44785.46786759259</c:v>
                </c:pt>
                <c:pt idx="18">
                  <c:v>44785.469163773145</c:v>
                </c:pt>
                <c:pt idx="19">
                  <c:v>44785.474076388891</c:v>
                </c:pt>
                <c:pt idx="20">
                  <c:v>44785.476112615739</c:v>
                </c:pt>
                <c:pt idx="21">
                  <c:v>44785.482323263888</c:v>
                </c:pt>
                <c:pt idx="22">
                  <c:v>44785.483072222225</c:v>
                </c:pt>
                <c:pt idx="23">
                  <c:v>44785.488531712967</c:v>
                </c:pt>
                <c:pt idx="24">
                  <c:v>44785.490044328704</c:v>
                </c:pt>
                <c:pt idx="25">
                  <c:v>44785.510078009262</c:v>
                </c:pt>
                <c:pt idx="26">
                  <c:v>44785.510124652777</c:v>
                </c:pt>
                <c:pt idx="27">
                  <c:v>44785.516550810185</c:v>
                </c:pt>
                <c:pt idx="28">
                  <c:v>44785.517140509262</c:v>
                </c:pt>
                <c:pt idx="29">
                  <c:v>44785.522309143518</c:v>
                </c:pt>
                <c:pt idx="30">
                  <c:v>44785.524098263886</c:v>
                </c:pt>
                <c:pt idx="31">
                  <c:v>44785.530584837965</c:v>
                </c:pt>
                <c:pt idx="32">
                  <c:v>44785.531054629631</c:v>
                </c:pt>
                <c:pt idx="33">
                  <c:v>44785.534695138886</c:v>
                </c:pt>
                <c:pt idx="34">
                  <c:v>44785.543692708336</c:v>
                </c:pt>
                <c:pt idx="35">
                  <c:v>44785.543712152779</c:v>
                </c:pt>
              </c:numCache>
            </c:numRef>
          </c:cat>
          <c:val>
            <c:numRef>
              <c:f>'NIFTY OI Trend'!$K$4:$K$50</c:f>
              <c:numCache>
                <c:formatCode>#,##0.00</c:formatCode>
                <c:ptCount val="47"/>
                <c:pt idx="0">
                  <c:v>3.08</c:v>
                </c:pt>
                <c:pt idx="1">
                  <c:v>2.4300000000000002</c:v>
                </c:pt>
                <c:pt idx="2">
                  <c:v>2.4300000000000002</c:v>
                </c:pt>
                <c:pt idx="3">
                  <c:v>0.94</c:v>
                </c:pt>
                <c:pt idx="4">
                  <c:v>0.94</c:v>
                </c:pt>
                <c:pt idx="5">
                  <c:v>1.05</c:v>
                </c:pt>
                <c:pt idx="6">
                  <c:v>1.05</c:v>
                </c:pt>
                <c:pt idx="7">
                  <c:v>1.08</c:v>
                </c:pt>
                <c:pt idx="8">
                  <c:v>1.08</c:v>
                </c:pt>
                <c:pt idx="9">
                  <c:v>1.27</c:v>
                </c:pt>
                <c:pt idx="10">
                  <c:v>1.27</c:v>
                </c:pt>
                <c:pt idx="11">
                  <c:v>1.26</c:v>
                </c:pt>
                <c:pt idx="12">
                  <c:v>1.26</c:v>
                </c:pt>
                <c:pt idx="13">
                  <c:v>1.24</c:v>
                </c:pt>
                <c:pt idx="14">
                  <c:v>1.24</c:v>
                </c:pt>
                <c:pt idx="15">
                  <c:v>0.67</c:v>
                </c:pt>
                <c:pt idx="16">
                  <c:v>0.67</c:v>
                </c:pt>
                <c:pt idx="17">
                  <c:v>0.7</c:v>
                </c:pt>
                <c:pt idx="18">
                  <c:v>0.7</c:v>
                </c:pt>
                <c:pt idx="19">
                  <c:v>0.73</c:v>
                </c:pt>
                <c:pt idx="20">
                  <c:v>0.73</c:v>
                </c:pt>
                <c:pt idx="21">
                  <c:v>0.77</c:v>
                </c:pt>
                <c:pt idx="22">
                  <c:v>0.77</c:v>
                </c:pt>
                <c:pt idx="23">
                  <c:v>0.8</c:v>
                </c:pt>
                <c:pt idx="24">
                  <c:v>0.8</c:v>
                </c:pt>
                <c:pt idx="25">
                  <c:v>0.81</c:v>
                </c:pt>
                <c:pt idx="26">
                  <c:v>0.81</c:v>
                </c:pt>
                <c:pt idx="27">
                  <c:v>1.42</c:v>
                </c:pt>
                <c:pt idx="28">
                  <c:v>1.42</c:v>
                </c:pt>
                <c:pt idx="29">
                  <c:v>0.76</c:v>
                </c:pt>
                <c:pt idx="30">
                  <c:v>0.76</c:v>
                </c:pt>
                <c:pt idx="31">
                  <c:v>0.78</c:v>
                </c:pt>
                <c:pt idx="32">
                  <c:v>0.78</c:v>
                </c:pt>
                <c:pt idx="33">
                  <c:v>0.81</c:v>
                </c:pt>
                <c:pt idx="34">
                  <c:v>0.81</c:v>
                </c:pt>
                <c:pt idx="35">
                  <c:v>0.81</c:v>
                </c:pt>
              </c:numCache>
            </c:numRef>
          </c:val>
          <c:smooth val="0"/>
          <c:extLst>
            <c:ext xmlns:c16="http://schemas.microsoft.com/office/drawing/2014/chart" uri="{C3380CC4-5D6E-409C-BE32-E72D297353CC}">
              <c16:uniqueId val="{00000000-46CE-452B-91CF-7212B17F399E}"/>
            </c:ext>
          </c:extLst>
        </c:ser>
        <c:dLbls>
          <c:showLegendKey val="0"/>
          <c:showVal val="0"/>
          <c:showCatName val="0"/>
          <c:showSerName val="0"/>
          <c:showPercent val="0"/>
          <c:showBubbleSize val="0"/>
        </c:dLbls>
        <c:marker val="1"/>
        <c:smooth val="0"/>
        <c:axId val="881859192"/>
        <c:axId val="881857552"/>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Bank Nifty Change in OI Difference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BANK NIFTY</c:v>
          </c:tx>
          <c:spPr>
            <a:ln w="22225" cap="rnd">
              <a:solidFill>
                <a:schemeClr val="accent1"/>
              </a:solidFill>
              <a:round/>
            </a:ln>
            <a:effectLst/>
          </c:spPr>
          <c:marker>
            <c:symbol val="circle"/>
            <c:size val="3"/>
            <c:spPr>
              <a:solidFill>
                <a:schemeClr val="lt1"/>
              </a:solidFill>
              <a:ln w="15875">
                <a:solidFill>
                  <a:schemeClr val="accent1"/>
                </a:solidFill>
                <a:round/>
              </a:ln>
              <a:effectLst/>
            </c:spPr>
          </c:marker>
          <c:cat>
            <c:numRef>
              <c:f>'BNF OI Trend'!$B$4:$B$40</c:f>
              <c:numCache>
                <c:formatCode>hhmm</c:formatCode>
                <c:ptCount val="3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Trend'!$C$4:$C$40</c:f>
              <c:numCache>
                <c:formatCode>General</c:formatCode>
                <c:ptCount val="37"/>
                <c:pt idx="0">
                  <c:v>38840.400000000001</c:v>
                </c:pt>
                <c:pt idx="1">
                  <c:v>38772.35</c:v>
                </c:pt>
                <c:pt idx="2">
                  <c:v>38772.35</c:v>
                </c:pt>
                <c:pt idx="3">
                  <c:v>38789.800000000003</c:v>
                </c:pt>
                <c:pt idx="4">
                  <c:v>38789.800000000003</c:v>
                </c:pt>
                <c:pt idx="5">
                  <c:v>38842.800000000003</c:v>
                </c:pt>
                <c:pt idx="6">
                  <c:v>38842.800000000003</c:v>
                </c:pt>
                <c:pt idx="7">
                  <c:v>38820.800000000003</c:v>
                </c:pt>
                <c:pt idx="8">
                  <c:v>38820.800000000003</c:v>
                </c:pt>
                <c:pt idx="9">
                  <c:v>38849.050000000003</c:v>
                </c:pt>
                <c:pt idx="10">
                  <c:v>38849.050000000003</c:v>
                </c:pt>
                <c:pt idx="11">
                  <c:v>38809.449999999997</c:v>
                </c:pt>
                <c:pt idx="12">
                  <c:v>38809.449999999997</c:v>
                </c:pt>
                <c:pt idx="13">
                  <c:v>38838.9</c:v>
                </c:pt>
                <c:pt idx="14">
                  <c:v>38838.9</c:v>
                </c:pt>
                <c:pt idx="15">
                  <c:v>38885.9</c:v>
                </c:pt>
                <c:pt idx="16">
                  <c:v>38885.9</c:v>
                </c:pt>
                <c:pt idx="17">
                  <c:v>38911.800000000003</c:v>
                </c:pt>
                <c:pt idx="18">
                  <c:v>38911.800000000003</c:v>
                </c:pt>
                <c:pt idx="19">
                  <c:v>38903</c:v>
                </c:pt>
                <c:pt idx="20">
                  <c:v>38903</c:v>
                </c:pt>
                <c:pt idx="21">
                  <c:v>38970.85</c:v>
                </c:pt>
                <c:pt idx="22">
                  <c:v>38970.85</c:v>
                </c:pt>
                <c:pt idx="23">
                  <c:v>38972.9</c:v>
                </c:pt>
                <c:pt idx="24">
                  <c:v>38972.9</c:v>
                </c:pt>
                <c:pt idx="25">
                  <c:v>38968.25</c:v>
                </c:pt>
                <c:pt idx="26">
                  <c:v>38968.25</c:v>
                </c:pt>
                <c:pt idx="27">
                  <c:v>38980.65</c:v>
                </c:pt>
                <c:pt idx="28">
                  <c:v>38980.65</c:v>
                </c:pt>
                <c:pt idx="29">
                  <c:v>39024.75</c:v>
                </c:pt>
                <c:pt idx="30">
                  <c:v>39024.75</c:v>
                </c:pt>
                <c:pt idx="31">
                  <c:v>39030.75</c:v>
                </c:pt>
                <c:pt idx="32">
                  <c:v>39030.75</c:v>
                </c:pt>
                <c:pt idx="33">
                  <c:v>39030.75</c:v>
                </c:pt>
                <c:pt idx="34">
                  <c:v>39030.75</c:v>
                </c:pt>
                <c:pt idx="35">
                  <c:v>39027.25</c:v>
                </c:pt>
              </c:numCache>
            </c:numRef>
          </c:val>
          <c:smooth val="0"/>
          <c:extLst>
            <c:ext xmlns:c16="http://schemas.microsoft.com/office/drawing/2014/chart" uri="{C3380CC4-5D6E-409C-BE32-E72D297353CC}">
              <c16:uniqueId val="{00000000-530D-4191-B442-CF4241CDE67C}"/>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OI DIFF</c:v>
          </c:tx>
          <c:spPr>
            <a:ln w="22225" cap="rnd">
              <a:solidFill>
                <a:schemeClr val="accent2"/>
              </a:solidFill>
              <a:round/>
            </a:ln>
            <a:effectLst/>
          </c:spPr>
          <c:marker>
            <c:symbol val="circle"/>
            <c:size val="3"/>
            <c:spPr>
              <a:solidFill>
                <a:schemeClr val="lt1"/>
              </a:solidFill>
              <a:ln w="15875">
                <a:solidFill>
                  <a:schemeClr val="accent2"/>
                </a:solidFill>
                <a:round/>
              </a:ln>
              <a:effectLst/>
            </c:spPr>
          </c:marker>
          <c:cat>
            <c:numRef>
              <c:f>'BNF OI Trend'!$B$4:$B$40</c:f>
              <c:numCache>
                <c:formatCode>hhmm</c:formatCode>
                <c:ptCount val="3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Trend'!$H$4:$H$40</c:f>
              <c:numCache>
                <c:formatCode>#,##0</c:formatCode>
                <c:ptCount val="37"/>
                <c:pt idx="0">
                  <c:v>-7533500</c:v>
                </c:pt>
                <c:pt idx="1">
                  <c:v>-18588500</c:v>
                </c:pt>
                <c:pt idx="2">
                  <c:v>-18588500</c:v>
                </c:pt>
                <c:pt idx="3">
                  <c:v>-17051500</c:v>
                </c:pt>
                <c:pt idx="4">
                  <c:v>-17051500</c:v>
                </c:pt>
                <c:pt idx="5">
                  <c:v>-16823000</c:v>
                </c:pt>
                <c:pt idx="6">
                  <c:v>-16823000</c:v>
                </c:pt>
                <c:pt idx="7">
                  <c:v>-14967000</c:v>
                </c:pt>
                <c:pt idx="8">
                  <c:v>-14967000</c:v>
                </c:pt>
                <c:pt idx="9">
                  <c:v>-21549000</c:v>
                </c:pt>
                <c:pt idx="10">
                  <c:v>-21549000</c:v>
                </c:pt>
                <c:pt idx="11">
                  <c:v>-23120500</c:v>
                </c:pt>
                <c:pt idx="12">
                  <c:v>-23120500</c:v>
                </c:pt>
                <c:pt idx="13">
                  <c:v>-25112500</c:v>
                </c:pt>
                <c:pt idx="14">
                  <c:v>-25112500</c:v>
                </c:pt>
                <c:pt idx="15">
                  <c:v>-23950500</c:v>
                </c:pt>
                <c:pt idx="16">
                  <c:v>-23950500</c:v>
                </c:pt>
                <c:pt idx="17">
                  <c:v>-22370500</c:v>
                </c:pt>
                <c:pt idx="18">
                  <c:v>-22370500</c:v>
                </c:pt>
                <c:pt idx="19">
                  <c:v>-20775000</c:v>
                </c:pt>
                <c:pt idx="20">
                  <c:v>-20775000</c:v>
                </c:pt>
                <c:pt idx="21">
                  <c:v>-7403000</c:v>
                </c:pt>
                <c:pt idx="22">
                  <c:v>-7403000</c:v>
                </c:pt>
                <c:pt idx="23">
                  <c:v>8658500</c:v>
                </c:pt>
                <c:pt idx="24">
                  <c:v>8658500</c:v>
                </c:pt>
                <c:pt idx="25">
                  <c:v>7425000</c:v>
                </c:pt>
                <c:pt idx="26">
                  <c:v>7425000</c:v>
                </c:pt>
                <c:pt idx="27">
                  <c:v>9605500</c:v>
                </c:pt>
                <c:pt idx="28">
                  <c:v>9605500</c:v>
                </c:pt>
                <c:pt idx="29">
                  <c:v>9514500</c:v>
                </c:pt>
                <c:pt idx="30">
                  <c:v>9514500</c:v>
                </c:pt>
                <c:pt idx="31">
                  <c:v>13726000</c:v>
                </c:pt>
                <c:pt idx="32">
                  <c:v>13726000</c:v>
                </c:pt>
                <c:pt idx="33">
                  <c:v>16191500</c:v>
                </c:pt>
                <c:pt idx="34">
                  <c:v>16191500</c:v>
                </c:pt>
                <c:pt idx="35">
                  <c:v>17506500</c:v>
                </c:pt>
              </c:numCache>
            </c:numRef>
          </c:val>
          <c:smooth val="0"/>
          <c:extLst>
            <c:ext xmlns:c16="http://schemas.microsoft.com/office/drawing/2014/chart" uri="{C3380CC4-5D6E-409C-BE32-E72D297353CC}">
              <c16:uniqueId val="{00000001-530D-4191-B442-CF4241CDE67C}"/>
            </c:ext>
          </c:extLst>
        </c:ser>
        <c:ser>
          <c:idx val="2"/>
          <c:order val="2"/>
          <c:tx>
            <c:v>CE Volume</c:v>
          </c:tx>
          <c:spPr>
            <a:ln w="22225" cap="rnd">
              <a:solidFill>
                <a:schemeClr val="accent3"/>
              </a:solidFill>
              <a:round/>
            </a:ln>
            <a:effectLst/>
          </c:spPr>
          <c:marker>
            <c:symbol val="none"/>
          </c:marker>
          <c:val>
            <c:numRef>
              <c:f>'BNF OI Trend'!$F$4:$F$40</c:f>
              <c:numCache>
                <c:formatCode>#,##0</c:formatCode>
                <c:ptCount val="37"/>
                <c:pt idx="0">
                  <c:v>519371</c:v>
                </c:pt>
                <c:pt idx="1">
                  <c:v>831774</c:v>
                </c:pt>
                <c:pt idx="2">
                  <c:v>831774</c:v>
                </c:pt>
                <c:pt idx="3">
                  <c:v>1039740</c:v>
                </c:pt>
                <c:pt idx="4">
                  <c:v>1039740</c:v>
                </c:pt>
                <c:pt idx="5">
                  <c:v>1228028</c:v>
                </c:pt>
                <c:pt idx="6">
                  <c:v>1228028</c:v>
                </c:pt>
                <c:pt idx="7">
                  <c:v>1300826</c:v>
                </c:pt>
                <c:pt idx="8">
                  <c:v>1300826</c:v>
                </c:pt>
                <c:pt idx="9">
                  <c:v>1678002</c:v>
                </c:pt>
                <c:pt idx="10">
                  <c:v>1678002</c:v>
                </c:pt>
                <c:pt idx="11">
                  <c:v>1797522</c:v>
                </c:pt>
                <c:pt idx="12">
                  <c:v>1797522</c:v>
                </c:pt>
                <c:pt idx="13">
                  <c:v>1931651</c:v>
                </c:pt>
                <c:pt idx="14">
                  <c:v>1931651</c:v>
                </c:pt>
                <c:pt idx="15">
                  <c:v>2045896</c:v>
                </c:pt>
                <c:pt idx="16">
                  <c:v>2045896</c:v>
                </c:pt>
                <c:pt idx="17">
                  <c:v>2165211</c:v>
                </c:pt>
                <c:pt idx="18">
                  <c:v>2165211</c:v>
                </c:pt>
                <c:pt idx="19">
                  <c:v>2238164</c:v>
                </c:pt>
                <c:pt idx="20">
                  <c:v>2238164</c:v>
                </c:pt>
                <c:pt idx="21">
                  <c:v>2554972</c:v>
                </c:pt>
                <c:pt idx="22">
                  <c:v>2554972</c:v>
                </c:pt>
                <c:pt idx="23">
                  <c:v>2804020</c:v>
                </c:pt>
                <c:pt idx="24">
                  <c:v>2804020</c:v>
                </c:pt>
                <c:pt idx="25">
                  <c:v>2873297</c:v>
                </c:pt>
                <c:pt idx="26">
                  <c:v>2873297</c:v>
                </c:pt>
                <c:pt idx="27">
                  <c:v>3332837</c:v>
                </c:pt>
                <c:pt idx="28">
                  <c:v>3332837</c:v>
                </c:pt>
                <c:pt idx="29">
                  <c:v>3508447</c:v>
                </c:pt>
                <c:pt idx="30">
                  <c:v>3508447</c:v>
                </c:pt>
                <c:pt idx="31">
                  <c:v>3673598</c:v>
                </c:pt>
                <c:pt idx="32">
                  <c:v>3673598</c:v>
                </c:pt>
                <c:pt idx="33">
                  <c:v>3714652</c:v>
                </c:pt>
                <c:pt idx="34">
                  <c:v>3714652</c:v>
                </c:pt>
                <c:pt idx="35">
                  <c:v>3743221</c:v>
                </c:pt>
              </c:numCache>
            </c:numRef>
          </c:val>
          <c:smooth val="0"/>
          <c:extLst>
            <c:ext xmlns:c16="http://schemas.microsoft.com/office/drawing/2014/chart" uri="{C3380CC4-5D6E-409C-BE32-E72D297353CC}">
              <c16:uniqueId val="{00000000-22E7-464E-A610-4D917102C1B3}"/>
            </c:ext>
          </c:extLst>
        </c:ser>
        <c:ser>
          <c:idx val="3"/>
          <c:order val="3"/>
          <c:tx>
            <c:v>PE Volume</c:v>
          </c:tx>
          <c:spPr>
            <a:ln w="22225" cap="rnd">
              <a:solidFill>
                <a:schemeClr val="accent4"/>
              </a:solidFill>
              <a:round/>
            </a:ln>
            <a:effectLst/>
          </c:spPr>
          <c:marker>
            <c:symbol val="none"/>
          </c:marker>
          <c:val>
            <c:numRef>
              <c:f>'BNF OI Trend'!$G$4:$G$40</c:f>
              <c:numCache>
                <c:formatCode>#,##0</c:formatCode>
                <c:ptCount val="37"/>
                <c:pt idx="0">
                  <c:v>457131</c:v>
                </c:pt>
                <c:pt idx="1">
                  <c:v>783500</c:v>
                </c:pt>
                <c:pt idx="2">
                  <c:v>783500</c:v>
                </c:pt>
                <c:pt idx="3">
                  <c:v>997793</c:v>
                </c:pt>
                <c:pt idx="4">
                  <c:v>997793</c:v>
                </c:pt>
                <c:pt idx="5">
                  <c:v>1174137</c:v>
                </c:pt>
                <c:pt idx="6">
                  <c:v>1174137</c:v>
                </c:pt>
                <c:pt idx="7">
                  <c:v>1239522</c:v>
                </c:pt>
                <c:pt idx="8">
                  <c:v>1239522</c:v>
                </c:pt>
                <c:pt idx="9">
                  <c:v>1582240</c:v>
                </c:pt>
                <c:pt idx="10">
                  <c:v>1582240</c:v>
                </c:pt>
                <c:pt idx="11">
                  <c:v>1682851</c:v>
                </c:pt>
                <c:pt idx="12">
                  <c:v>1682851</c:v>
                </c:pt>
                <c:pt idx="13">
                  <c:v>1806689</c:v>
                </c:pt>
                <c:pt idx="14">
                  <c:v>1806689</c:v>
                </c:pt>
                <c:pt idx="15">
                  <c:v>1898170</c:v>
                </c:pt>
                <c:pt idx="16">
                  <c:v>1898170</c:v>
                </c:pt>
                <c:pt idx="17">
                  <c:v>1990581</c:v>
                </c:pt>
                <c:pt idx="18">
                  <c:v>1990581</c:v>
                </c:pt>
                <c:pt idx="19">
                  <c:v>2048771</c:v>
                </c:pt>
                <c:pt idx="20">
                  <c:v>2048771</c:v>
                </c:pt>
                <c:pt idx="21">
                  <c:v>2247017</c:v>
                </c:pt>
                <c:pt idx="22">
                  <c:v>2247017</c:v>
                </c:pt>
                <c:pt idx="23">
                  <c:v>2422089</c:v>
                </c:pt>
                <c:pt idx="24">
                  <c:v>2422089</c:v>
                </c:pt>
                <c:pt idx="25">
                  <c:v>2479765</c:v>
                </c:pt>
                <c:pt idx="26">
                  <c:v>2479765</c:v>
                </c:pt>
                <c:pt idx="27">
                  <c:v>2837419</c:v>
                </c:pt>
                <c:pt idx="28">
                  <c:v>2837419</c:v>
                </c:pt>
                <c:pt idx="29">
                  <c:v>2935599</c:v>
                </c:pt>
                <c:pt idx="30">
                  <c:v>2935599</c:v>
                </c:pt>
                <c:pt idx="31">
                  <c:v>3033912</c:v>
                </c:pt>
                <c:pt idx="32">
                  <c:v>3033912</c:v>
                </c:pt>
                <c:pt idx="33">
                  <c:v>3060802</c:v>
                </c:pt>
                <c:pt idx="34">
                  <c:v>3060802</c:v>
                </c:pt>
                <c:pt idx="35">
                  <c:v>3080821</c:v>
                </c:pt>
              </c:numCache>
            </c:numRef>
          </c:val>
          <c:smooth val="0"/>
          <c:extLst>
            <c:ext xmlns:c16="http://schemas.microsoft.com/office/drawing/2014/chart" uri="{C3380CC4-5D6E-409C-BE32-E72D297353CC}">
              <c16:uniqueId val="{00000001-22E7-464E-A610-4D917102C1B3}"/>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CE OI Change Vs. PE OI Change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v>Call OI</c:v>
          </c:tx>
          <c:spPr>
            <a:ln w="22225" cap="rnd">
              <a:solidFill>
                <a:schemeClr val="accent1"/>
              </a:solidFill>
              <a:round/>
            </a:ln>
            <a:effectLst/>
          </c:spPr>
          <c:marker>
            <c:symbol val="circle"/>
            <c:size val="3"/>
            <c:spPr>
              <a:solidFill>
                <a:schemeClr val="lt1"/>
              </a:solidFill>
              <a:ln w="15875">
                <a:solidFill>
                  <a:schemeClr val="accent1"/>
                </a:solidFill>
                <a:round/>
              </a:ln>
              <a:effectLst/>
            </c:spPr>
          </c:marker>
          <c:dPt>
            <c:idx val="0"/>
            <c:marker>
              <c:symbol val="circle"/>
              <c:size val="3"/>
              <c:spPr>
                <a:solidFill>
                  <a:schemeClr val="lt1"/>
                </a:solidFill>
                <a:ln w="15875">
                  <a:solidFill>
                    <a:schemeClr val="accent1"/>
                  </a:solidFill>
                  <a:round/>
                </a:ln>
                <a:effectLst/>
              </c:spPr>
            </c:marker>
            <c:bubble3D val="0"/>
            <c:extLst>
              <c:ext xmlns:c16="http://schemas.microsoft.com/office/drawing/2014/chart" uri="{C3380CC4-5D6E-409C-BE32-E72D297353CC}">
                <c16:uniqueId val="{00000002-FCCC-4041-8CEB-4EA0B11CDA00}"/>
              </c:ext>
            </c:extLst>
          </c:dPt>
          <c:cat>
            <c:numRef>
              <c:f>'BNF OI Trend'!$B$4:$B$40</c:f>
              <c:numCache>
                <c:formatCode>hhmm</c:formatCode>
                <c:ptCount val="3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Trend'!$D$4:$D$40</c:f>
              <c:numCache>
                <c:formatCode>#,##0</c:formatCode>
                <c:ptCount val="37"/>
                <c:pt idx="0">
                  <c:v>43047500</c:v>
                </c:pt>
                <c:pt idx="1">
                  <c:v>68612000</c:v>
                </c:pt>
                <c:pt idx="2">
                  <c:v>68612000</c:v>
                </c:pt>
                <c:pt idx="3">
                  <c:v>84734000</c:v>
                </c:pt>
                <c:pt idx="4">
                  <c:v>84734000</c:v>
                </c:pt>
                <c:pt idx="5">
                  <c:v>89225000</c:v>
                </c:pt>
                <c:pt idx="6">
                  <c:v>89225000</c:v>
                </c:pt>
                <c:pt idx="7">
                  <c:v>90778500</c:v>
                </c:pt>
                <c:pt idx="8">
                  <c:v>90778500</c:v>
                </c:pt>
                <c:pt idx="9">
                  <c:v>105497000</c:v>
                </c:pt>
                <c:pt idx="10">
                  <c:v>105497000</c:v>
                </c:pt>
                <c:pt idx="11">
                  <c:v>108108000</c:v>
                </c:pt>
                <c:pt idx="12">
                  <c:v>108108000</c:v>
                </c:pt>
                <c:pt idx="13">
                  <c:v>107225500</c:v>
                </c:pt>
                <c:pt idx="14">
                  <c:v>107225500</c:v>
                </c:pt>
                <c:pt idx="15">
                  <c:v>107306000</c:v>
                </c:pt>
                <c:pt idx="16">
                  <c:v>107306000</c:v>
                </c:pt>
                <c:pt idx="17">
                  <c:v>108273500</c:v>
                </c:pt>
                <c:pt idx="18">
                  <c:v>108273500</c:v>
                </c:pt>
                <c:pt idx="19">
                  <c:v>107259500</c:v>
                </c:pt>
                <c:pt idx="20">
                  <c:v>107259500</c:v>
                </c:pt>
                <c:pt idx="21">
                  <c:v>101049000</c:v>
                </c:pt>
                <c:pt idx="22">
                  <c:v>101049000</c:v>
                </c:pt>
                <c:pt idx="23">
                  <c:v>96115500</c:v>
                </c:pt>
                <c:pt idx="24">
                  <c:v>96115500</c:v>
                </c:pt>
                <c:pt idx="25">
                  <c:v>98924500</c:v>
                </c:pt>
                <c:pt idx="26">
                  <c:v>98924500</c:v>
                </c:pt>
                <c:pt idx="27">
                  <c:v>105428500</c:v>
                </c:pt>
                <c:pt idx="28">
                  <c:v>105428500</c:v>
                </c:pt>
                <c:pt idx="29">
                  <c:v>107273000</c:v>
                </c:pt>
                <c:pt idx="30">
                  <c:v>107273000</c:v>
                </c:pt>
                <c:pt idx="31">
                  <c:v>107617000</c:v>
                </c:pt>
                <c:pt idx="32">
                  <c:v>107617000</c:v>
                </c:pt>
                <c:pt idx="33">
                  <c:v>107081000</c:v>
                </c:pt>
                <c:pt idx="34">
                  <c:v>107081000</c:v>
                </c:pt>
                <c:pt idx="35">
                  <c:v>106721500</c:v>
                </c:pt>
              </c:numCache>
            </c:numRef>
          </c:val>
          <c:smooth val="1"/>
          <c:extLst>
            <c:ext xmlns:c16="http://schemas.microsoft.com/office/drawing/2014/chart" uri="{C3380CC4-5D6E-409C-BE32-E72D297353CC}">
              <c16:uniqueId val="{00000000-FCCC-4041-8CEB-4EA0B11CDA00}"/>
            </c:ext>
          </c:extLst>
        </c:ser>
        <c:dLbls>
          <c:showLegendKey val="0"/>
          <c:showVal val="0"/>
          <c:showCatName val="0"/>
          <c:showSerName val="0"/>
          <c:showPercent val="0"/>
          <c:showBubbleSize val="0"/>
        </c:dLbls>
        <c:marker val="1"/>
        <c:smooth val="0"/>
        <c:axId val="881859192"/>
        <c:axId val="881857552"/>
      </c:lineChart>
      <c:lineChart>
        <c:grouping val="standard"/>
        <c:varyColors val="0"/>
        <c:ser>
          <c:idx val="1"/>
          <c:order val="1"/>
          <c:tx>
            <c:v>Put OI</c:v>
          </c:tx>
          <c:spPr>
            <a:ln w="22225" cap="rnd">
              <a:solidFill>
                <a:schemeClr val="accent2"/>
              </a:solidFill>
              <a:round/>
            </a:ln>
            <a:effectLst/>
          </c:spPr>
          <c:marker>
            <c:symbol val="circle"/>
            <c:size val="3"/>
            <c:spPr>
              <a:solidFill>
                <a:schemeClr val="lt1"/>
              </a:solidFill>
              <a:ln w="15875">
                <a:solidFill>
                  <a:schemeClr val="accent2"/>
                </a:solidFill>
                <a:round/>
              </a:ln>
              <a:effectLst/>
            </c:spPr>
          </c:marker>
          <c:val>
            <c:numRef>
              <c:f>'BNF OI Trend'!$E$4:$E$40</c:f>
              <c:numCache>
                <c:formatCode>#,##0</c:formatCode>
                <c:ptCount val="37"/>
                <c:pt idx="0">
                  <c:v>35514000</c:v>
                </c:pt>
                <c:pt idx="1">
                  <c:v>50023500</c:v>
                </c:pt>
                <c:pt idx="2">
                  <c:v>50023500</c:v>
                </c:pt>
                <c:pt idx="3">
                  <c:v>67682500</c:v>
                </c:pt>
                <c:pt idx="4">
                  <c:v>67682500</c:v>
                </c:pt>
                <c:pt idx="5">
                  <c:v>72402000</c:v>
                </c:pt>
                <c:pt idx="6">
                  <c:v>72402000</c:v>
                </c:pt>
                <c:pt idx="7">
                  <c:v>75811500</c:v>
                </c:pt>
                <c:pt idx="8">
                  <c:v>75811500</c:v>
                </c:pt>
                <c:pt idx="9">
                  <c:v>83948000</c:v>
                </c:pt>
                <c:pt idx="10">
                  <c:v>83948000</c:v>
                </c:pt>
                <c:pt idx="11">
                  <c:v>84987500</c:v>
                </c:pt>
                <c:pt idx="12">
                  <c:v>84987500</c:v>
                </c:pt>
                <c:pt idx="13">
                  <c:v>82113000</c:v>
                </c:pt>
                <c:pt idx="14">
                  <c:v>82113000</c:v>
                </c:pt>
                <c:pt idx="15">
                  <c:v>83355500</c:v>
                </c:pt>
                <c:pt idx="16">
                  <c:v>83355500</c:v>
                </c:pt>
                <c:pt idx="17">
                  <c:v>85903000</c:v>
                </c:pt>
                <c:pt idx="18">
                  <c:v>85903000</c:v>
                </c:pt>
                <c:pt idx="19">
                  <c:v>86484500</c:v>
                </c:pt>
                <c:pt idx="20">
                  <c:v>86484500</c:v>
                </c:pt>
                <c:pt idx="21">
                  <c:v>93646000</c:v>
                </c:pt>
                <c:pt idx="22">
                  <c:v>93646000</c:v>
                </c:pt>
                <c:pt idx="23">
                  <c:v>104774000</c:v>
                </c:pt>
                <c:pt idx="24">
                  <c:v>104774000</c:v>
                </c:pt>
                <c:pt idx="25">
                  <c:v>106349500</c:v>
                </c:pt>
                <c:pt idx="26">
                  <c:v>106349500</c:v>
                </c:pt>
                <c:pt idx="27">
                  <c:v>115034000</c:v>
                </c:pt>
                <c:pt idx="28">
                  <c:v>115034000</c:v>
                </c:pt>
                <c:pt idx="29">
                  <c:v>116787500</c:v>
                </c:pt>
                <c:pt idx="30">
                  <c:v>116787500</c:v>
                </c:pt>
                <c:pt idx="31">
                  <c:v>121343000</c:v>
                </c:pt>
                <c:pt idx="32">
                  <c:v>121343000</c:v>
                </c:pt>
                <c:pt idx="33">
                  <c:v>123272500</c:v>
                </c:pt>
                <c:pt idx="34">
                  <c:v>123272500</c:v>
                </c:pt>
                <c:pt idx="35">
                  <c:v>124228000</c:v>
                </c:pt>
              </c:numCache>
            </c:numRef>
          </c:val>
          <c:smooth val="1"/>
          <c:extLst>
            <c:ext xmlns:c16="http://schemas.microsoft.com/office/drawing/2014/chart" uri="{C3380CC4-5D6E-409C-BE32-E72D297353CC}">
              <c16:uniqueId val="{00000001-FCCC-4041-8CEB-4EA0B11CDA00}"/>
            </c:ext>
          </c:extLst>
        </c:ser>
        <c:dLbls>
          <c:showLegendKey val="0"/>
          <c:showVal val="0"/>
          <c:showCatName val="0"/>
          <c:showSerName val="0"/>
          <c:showPercent val="0"/>
          <c:showBubbleSize val="0"/>
        </c:dLbls>
        <c:marker val="1"/>
        <c:smooth val="0"/>
        <c:axId val="614257856"/>
        <c:axId val="614257528"/>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valAx>
        <c:axId val="614257528"/>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14257856"/>
        <c:crosses val="max"/>
        <c:crossBetween val="between"/>
      </c:valAx>
      <c:catAx>
        <c:axId val="614257856"/>
        <c:scaling>
          <c:orientation val="minMax"/>
        </c:scaling>
        <c:delete val="1"/>
        <c:axPos val="b"/>
        <c:numFmt formatCode="hhmm" sourceLinked="1"/>
        <c:majorTickMark val="out"/>
        <c:minorTickMark val="none"/>
        <c:tickLblPos val="nextTo"/>
        <c:crossAx val="614257528"/>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Bank Nifty CE</a:t>
            </a:r>
            <a:r>
              <a:rPr lang="en-IN" baseline="0"/>
              <a:t> PE IV &amp; PCR Change</a:t>
            </a:r>
            <a:endParaRPr lang="en-IN"/>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1"/>
          <c:order val="0"/>
          <c:tx>
            <c:v>CE IV</c:v>
          </c:tx>
          <c:spPr>
            <a:ln w="22225" cap="rnd">
              <a:solidFill>
                <a:schemeClr val="accent2"/>
              </a:solidFill>
              <a:round/>
            </a:ln>
            <a:effectLst/>
          </c:spPr>
          <c:marker>
            <c:symbol val="circle"/>
            <c:size val="4"/>
            <c:spPr>
              <a:solidFill>
                <a:schemeClr val="lt1"/>
              </a:solidFill>
              <a:ln w="15875">
                <a:solidFill>
                  <a:schemeClr val="accent2"/>
                </a:solidFill>
                <a:round/>
              </a:ln>
              <a:effectLst/>
            </c:spPr>
          </c:marker>
          <c:cat>
            <c:numRef>
              <c:f>'BNF OI Trend'!$B$4:$B$50</c:f>
              <c:numCache>
                <c:formatCode>hhmm</c:formatCode>
                <c:ptCount val="4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Trend'!$I$4:$I$50</c:f>
              <c:numCache>
                <c:formatCode>#,##0.00</c:formatCode>
                <c:ptCount val="47"/>
                <c:pt idx="0">
                  <c:v>14.56</c:v>
                </c:pt>
                <c:pt idx="1">
                  <c:v>15.32</c:v>
                </c:pt>
                <c:pt idx="2">
                  <c:v>15.32</c:v>
                </c:pt>
                <c:pt idx="3">
                  <c:v>14.61</c:v>
                </c:pt>
                <c:pt idx="4">
                  <c:v>14.61</c:v>
                </c:pt>
                <c:pt idx="5">
                  <c:v>14.3</c:v>
                </c:pt>
                <c:pt idx="6">
                  <c:v>14.3</c:v>
                </c:pt>
                <c:pt idx="7">
                  <c:v>14.84</c:v>
                </c:pt>
                <c:pt idx="8">
                  <c:v>14.84</c:v>
                </c:pt>
                <c:pt idx="9">
                  <c:v>14.22</c:v>
                </c:pt>
                <c:pt idx="10">
                  <c:v>14.22</c:v>
                </c:pt>
                <c:pt idx="11">
                  <c:v>14.22</c:v>
                </c:pt>
                <c:pt idx="12">
                  <c:v>14.22</c:v>
                </c:pt>
                <c:pt idx="13">
                  <c:v>13.44</c:v>
                </c:pt>
                <c:pt idx="14">
                  <c:v>13.44</c:v>
                </c:pt>
                <c:pt idx="15">
                  <c:v>10.24</c:v>
                </c:pt>
                <c:pt idx="16">
                  <c:v>10.24</c:v>
                </c:pt>
                <c:pt idx="17">
                  <c:v>10.01</c:v>
                </c:pt>
                <c:pt idx="18">
                  <c:v>10.01</c:v>
                </c:pt>
                <c:pt idx="19">
                  <c:v>10.01</c:v>
                </c:pt>
                <c:pt idx="20">
                  <c:v>10.01</c:v>
                </c:pt>
                <c:pt idx="21">
                  <c:v>9.7899999999999991</c:v>
                </c:pt>
                <c:pt idx="22">
                  <c:v>9.7899999999999991</c:v>
                </c:pt>
                <c:pt idx="23">
                  <c:v>10.34</c:v>
                </c:pt>
                <c:pt idx="24">
                  <c:v>10.34</c:v>
                </c:pt>
                <c:pt idx="25">
                  <c:v>10.34</c:v>
                </c:pt>
                <c:pt idx="26">
                  <c:v>10.34</c:v>
                </c:pt>
                <c:pt idx="27">
                  <c:v>10.28</c:v>
                </c:pt>
                <c:pt idx="28">
                  <c:v>10.28</c:v>
                </c:pt>
                <c:pt idx="29">
                  <c:v>10.28</c:v>
                </c:pt>
                <c:pt idx="30">
                  <c:v>10.28</c:v>
                </c:pt>
                <c:pt idx="31">
                  <c:v>10.25</c:v>
                </c:pt>
                <c:pt idx="32">
                  <c:v>10.25</c:v>
                </c:pt>
                <c:pt idx="33">
                  <c:v>10.25</c:v>
                </c:pt>
                <c:pt idx="34">
                  <c:v>10.25</c:v>
                </c:pt>
                <c:pt idx="35">
                  <c:v>10.25</c:v>
                </c:pt>
              </c:numCache>
            </c:numRef>
          </c:val>
          <c:smooth val="0"/>
          <c:extLst>
            <c:ext xmlns:c16="http://schemas.microsoft.com/office/drawing/2014/chart" uri="{C3380CC4-5D6E-409C-BE32-E72D297353CC}">
              <c16:uniqueId val="{00000000-E7F8-4ACE-84D5-B0182033006A}"/>
            </c:ext>
          </c:extLst>
        </c:ser>
        <c:ser>
          <c:idx val="3"/>
          <c:order val="1"/>
          <c:tx>
            <c:v>PE IV</c:v>
          </c:tx>
          <c:spPr>
            <a:ln w="22225" cap="rnd">
              <a:solidFill>
                <a:schemeClr val="accent4"/>
              </a:solidFill>
              <a:round/>
            </a:ln>
            <a:effectLst/>
          </c:spPr>
          <c:marker>
            <c:symbol val="circle"/>
            <c:size val="3"/>
            <c:spPr>
              <a:solidFill>
                <a:schemeClr val="lt1"/>
              </a:solidFill>
              <a:ln w="15875">
                <a:solidFill>
                  <a:schemeClr val="accent4"/>
                </a:solidFill>
                <a:round/>
              </a:ln>
              <a:effectLst/>
            </c:spPr>
          </c:marker>
          <c:cat>
            <c:numRef>
              <c:f>'BNF OI Trend'!$B$4:$B$50</c:f>
              <c:numCache>
                <c:formatCode>hhmm</c:formatCode>
                <c:ptCount val="4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Trend'!$J$4:$J$50</c:f>
              <c:numCache>
                <c:formatCode>#,##0.00</c:formatCode>
                <c:ptCount val="47"/>
                <c:pt idx="0">
                  <c:v>18.829999999999998</c:v>
                </c:pt>
                <c:pt idx="1">
                  <c:v>18.489999999999998</c:v>
                </c:pt>
                <c:pt idx="2">
                  <c:v>18.489999999999998</c:v>
                </c:pt>
                <c:pt idx="3">
                  <c:v>18.45</c:v>
                </c:pt>
                <c:pt idx="4">
                  <c:v>18.45</c:v>
                </c:pt>
                <c:pt idx="5">
                  <c:v>18.32</c:v>
                </c:pt>
                <c:pt idx="6">
                  <c:v>18.32</c:v>
                </c:pt>
                <c:pt idx="7">
                  <c:v>17.95</c:v>
                </c:pt>
                <c:pt idx="8">
                  <c:v>17.95</c:v>
                </c:pt>
                <c:pt idx="9">
                  <c:v>17.489999999999998</c:v>
                </c:pt>
                <c:pt idx="10">
                  <c:v>17.489999999999998</c:v>
                </c:pt>
                <c:pt idx="11">
                  <c:v>17.489999999999998</c:v>
                </c:pt>
                <c:pt idx="12">
                  <c:v>17.489999999999998</c:v>
                </c:pt>
                <c:pt idx="13">
                  <c:v>17.7</c:v>
                </c:pt>
                <c:pt idx="14">
                  <c:v>17.7</c:v>
                </c:pt>
                <c:pt idx="15">
                  <c:v>17.79</c:v>
                </c:pt>
                <c:pt idx="16">
                  <c:v>17.79</c:v>
                </c:pt>
                <c:pt idx="17">
                  <c:v>17.829999999999998</c:v>
                </c:pt>
                <c:pt idx="18">
                  <c:v>17.829999999999998</c:v>
                </c:pt>
                <c:pt idx="19">
                  <c:v>17.829999999999998</c:v>
                </c:pt>
                <c:pt idx="20">
                  <c:v>17.829999999999998</c:v>
                </c:pt>
                <c:pt idx="21">
                  <c:v>17.899999999999999</c:v>
                </c:pt>
                <c:pt idx="22">
                  <c:v>17.899999999999999</c:v>
                </c:pt>
                <c:pt idx="23">
                  <c:v>17.760000000000002</c:v>
                </c:pt>
                <c:pt idx="24">
                  <c:v>17.760000000000002</c:v>
                </c:pt>
                <c:pt idx="25">
                  <c:v>17.760000000000002</c:v>
                </c:pt>
                <c:pt idx="26">
                  <c:v>17.760000000000002</c:v>
                </c:pt>
                <c:pt idx="27">
                  <c:v>17.399999999999999</c:v>
                </c:pt>
                <c:pt idx="28">
                  <c:v>17.399999999999999</c:v>
                </c:pt>
                <c:pt idx="29">
                  <c:v>17.399999999999999</c:v>
                </c:pt>
                <c:pt idx="30">
                  <c:v>17.399999999999999</c:v>
                </c:pt>
                <c:pt idx="31">
                  <c:v>17.46</c:v>
                </c:pt>
                <c:pt idx="32">
                  <c:v>17.46</c:v>
                </c:pt>
                <c:pt idx="33">
                  <c:v>17.46</c:v>
                </c:pt>
                <c:pt idx="34">
                  <c:v>17.46</c:v>
                </c:pt>
                <c:pt idx="35">
                  <c:v>17.46</c:v>
                </c:pt>
              </c:numCache>
            </c:numRef>
          </c:val>
          <c:smooth val="0"/>
          <c:extLst>
            <c:ext xmlns:c16="http://schemas.microsoft.com/office/drawing/2014/chart" uri="{C3380CC4-5D6E-409C-BE32-E72D297353CC}">
              <c16:uniqueId val="{00000001-E7F8-4ACE-84D5-B0182033006A}"/>
            </c:ext>
          </c:extLst>
        </c:ser>
        <c:ser>
          <c:idx val="0"/>
          <c:order val="2"/>
          <c:tx>
            <c:v>PCR</c:v>
          </c:tx>
          <c:spPr>
            <a:ln w="19050" cap="rnd">
              <a:solidFill>
                <a:schemeClr val="accent1"/>
              </a:solidFill>
              <a:round/>
            </a:ln>
            <a:effectLst/>
          </c:spPr>
          <c:marker>
            <c:symbol val="circle"/>
            <c:size val="4"/>
            <c:spPr>
              <a:solidFill>
                <a:schemeClr val="lt1"/>
              </a:solidFill>
              <a:ln w="15875">
                <a:solidFill>
                  <a:schemeClr val="accent1"/>
                </a:solidFill>
                <a:round/>
              </a:ln>
              <a:effectLst/>
            </c:spPr>
          </c:marker>
          <c:cat>
            <c:numRef>
              <c:f>'BNF OI Trend'!$B$4:$B$50</c:f>
              <c:numCache>
                <c:formatCode>hhmm</c:formatCode>
                <c:ptCount val="47"/>
                <c:pt idx="0">
                  <c:v>44785.395646064811</c:v>
                </c:pt>
                <c:pt idx="1">
                  <c:v>44785.402465509258</c:v>
                </c:pt>
                <c:pt idx="2">
                  <c:v>44785.402597106484</c:v>
                </c:pt>
                <c:pt idx="3">
                  <c:v>44785.409411342589</c:v>
                </c:pt>
                <c:pt idx="4">
                  <c:v>44785.409541898145</c:v>
                </c:pt>
                <c:pt idx="5">
                  <c:v>44785.416358680559</c:v>
                </c:pt>
                <c:pt idx="6">
                  <c:v>44785.41648576389</c:v>
                </c:pt>
                <c:pt idx="7">
                  <c:v>44785.434411111113</c:v>
                </c:pt>
                <c:pt idx="8">
                  <c:v>44785.434413194445</c:v>
                </c:pt>
                <c:pt idx="9">
                  <c:v>44785.4413599537</c:v>
                </c:pt>
                <c:pt idx="10">
                  <c:v>44785.44136261574</c:v>
                </c:pt>
                <c:pt idx="11">
                  <c:v>44785.448304050929</c:v>
                </c:pt>
                <c:pt idx="12">
                  <c:v>44785.448306481485</c:v>
                </c:pt>
                <c:pt idx="13">
                  <c:v>44785.455251388892</c:v>
                </c:pt>
                <c:pt idx="14">
                  <c:v>44785.45525648148</c:v>
                </c:pt>
                <c:pt idx="15">
                  <c:v>44785.462212500002</c:v>
                </c:pt>
                <c:pt idx="16">
                  <c:v>44785.462221643516</c:v>
                </c:pt>
                <c:pt idx="17">
                  <c:v>44785.46916226852</c:v>
                </c:pt>
                <c:pt idx="18">
                  <c:v>44785.46916828704</c:v>
                </c:pt>
                <c:pt idx="19">
                  <c:v>44785.476104398149</c:v>
                </c:pt>
                <c:pt idx="20">
                  <c:v>44785.47611354167</c:v>
                </c:pt>
                <c:pt idx="21">
                  <c:v>44785.483049189817</c:v>
                </c:pt>
                <c:pt idx="22">
                  <c:v>44785.483094560186</c:v>
                </c:pt>
                <c:pt idx="23">
                  <c:v>44785.490042708334</c:v>
                </c:pt>
                <c:pt idx="24">
                  <c:v>44785.49008275463</c:v>
                </c:pt>
                <c:pt idx="25">
                  <c:v>44785.510121643521</c:v>
                </c:pt>
                <c:pt idx="26">
                  <c:v>44785.510127083333</c:v>
                </c:pt>
                <c:pt idx="27">
                  <c:v>44785.517139814816</c:v>
                </c:pt>
                <c:pt idx="28">
                  <c:v>44785.517141203702</c:v>
                </c:pt>
                <c:pt idx="29">
                  <c:v>44785.52409363426</c:v>
                </c:pt>
                <c:pt idx="30">
                  <c:v>44785.524101157411</c:v>
                </c:pt>
                <c:pt idx="31">
                  <c:v>44785.531049652775</c:v>
                </c:pt>
                <c:pt idx="32">
                  <c:v>44785.531057638887</c:v>
                </c:pt>
                <c:pt idx="33">
                  <c:v>44785.543688888887</c:v>
                </c:pt>
                <c:pt idx="34">
                  <c:v>44785.543695601853</c:v>
                </c:pt>
                <c:pt idx="35">
                  <c:v>44785.543792013887</c:v>
                </c:pt>
              </c:numCache>
            </c:numRef>
          </c:cat>
          <c:val>
            <c:numRef>
              <c:f>'BNF OI Trend'!$K$4:$K$50</c:f>
              <c:numCache>
                <c:formatCode>#,##0.00</c:formatCode>
                <c:ptCount val="47"/>
                <c:pt idx="0">
                  <c:v>1.23</c:v>
                </c:pt>
                <c:pt idx="1">
                  <c:v>1.1200000000000001</c:v>
                </c:pt>
                <c:pt idx="2">
                  <c:v>1.1200000000000001</c:v>
                </c:pt>
                <c:pt idx="3">
                  <c:v>1.1000000000000001</c:v>
                </c:pt>
                <c:pt idx="4">
                  <c:v>1.1000000000000001</c:v>
                </c:pt>
                <c:pt idx="5">
                  <c:v>1.21</c:v>
                </c:pt>
                <c:pt idx="6">
                  <c:v>1.21</c:v>
                </c:pt>
                <c:pt idx="7">
                  <c:v>1.28</c:v>
                </c:pt>
                <c:pt idx="8">
                  <c:v>1.28</c:v>
                </c:pt>
                <c:pt idx="9">
                  <c:v>1.27</c:v>
                </c:pt>
                <c:pt idx="10">
                  <c:v>1.27</c:v>
                </c:pt>
                <c:pt idx="11">
                  <c:v>1.24</c:v>
                </c:pt>
                <c:pt idx="12">
                  <c:v>1.24</c:v>
                </c:pt>
                <c:pt idx="13">
                  <c:v>1.24</c:v>
                </c:pt>
                <c:pt idx="14">
                  <c:v>1.24</c:v>
                </c:pt>
                <c:pt idx="15">
                  <c:v>1.28</c:v>
                </c:pt>
                <c:pt idx="16">
                  <c:v>1.28</c:v>
                </c:pt>
                <c:pt idx="17">
                  <c:v>1.3</c:v>
                </c:pt>
                <c:pt idx="18">
                  <c:v>1.3</c:v>
                </c:pt>
                <c:pt idx="19">
                  <c:v>1.33</c:v>
                </c:pt>
                <c:pt idx="20">
                  <c:v>1.33</c:v>
                </c:pt>
                <c:pt idx="21">
                  <c:v>1.45</c:v>
                </c:pt>
                <c:pt idx="22">
                  <c:v>1.45</c:v>
                </c:pt>
                <c:pt idx="23">
                  <c:v>1.56</c:v>
                </c:pt>
                <c:pt idx="24">
                  <c:v>1.56</c:v>
                </c:pt>
                <c:pt idx="25">
                  <c:v>1.55</c:v>
                </c:pt>
                <c:pt idx="26">
                  <c:v>1.55</c:v>
                </c:pt>
                <c:pt idx="27">
                  <c:v>1.58</c:v>
                </c:pt>
                <c:pt idx="28">
                  <c:v>1.58</c:v>
                </c:pt>
                <c:pt idx="29">
                  <c:v>1.6</c:v>
                </c:pt>
                <c:pt idx="30">
                  <c:v>1.6</c:v>
                </c:pt>
                <c:pt idx="31">
                  <c:v>1.69</c:v>
                </c:pt>
                <c:pt idx="32">
                  <c:v>1.69</c:v>
                </c:pt>
                <c:pt idx="33">
                  <c:v>1.67</c:v>
                </c:pt>
                <c:pt idx="34">
                  <c:v>1.67</c:v>
                </c:pt>
                <c:pt idx="35">
                  <c:v>1.68</c:v>
                </c:pt>
              </c:numCache>
            </c:numRef>
          </c:val>
          <c:smooth val="0"/>
          <c:extLst>
            <c:ext xmlns:c16="http://schemas.microsoft.com/office/drawing/2014/chart" uri="{C3380CC4-5D6E-409C-BE32-E72D297353CC}">
              <c16:uniqueId val="{00000003-60AC-4075-9917-00ED44A92515}"/>
            </c:ext>
          </c:extLst>
        </c:ser>
        <c:dLbls>
          <c:showLegendKey val="0"/>
          <c:showVal val="0"/>
          <c:showCatName val="0"/>
          <c:showSerName val="0"/>
          <c:showPercent val="0"/>
          <c:showBubbleSize val="0"/>
        </c:dLbls>
        <c:marker val="1"/>
        <c:smooth val="0"/>
        <c:axId val="881859192"/>
        <c:axId val="881857552"/>
      </c:lineChart>
      <c:catAx>
        <c:axId val="881859192"/>
        <c:scaling>
          <c:orientation val="minMax"/>
        </c:scaling>
        <c:delete val="0"/>
        <c:axPos val="b"/>
        <c:majorGridlines>
          <c:spPr>
            <a:ln w="9525" cap="flat" cmpd="sng" algn="ctr">
              <a:solidFill>
                <a:schemeClr val="dk1">
                  <a:lumMod val="15000"/>
                  <a:lumOff val="85000"/>
                </a:schemeClr>
              </a:solidFill>
              <a:round/>
            </a:ln>
            <a:effectLst/>
          </c:spPr>
        </c:majorGridlines>
        <c:numFmt formatCode="hhmm"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1857552"/>
        <c:crosses val="autoZero"/>
        <c:auto val="1"/>
        <c:lblAlgn val="ctr"/>
        <c:lblOffset val="100"/>
        <c:noMultiLvlLbl val="0"/>
      </c:catAx>
      <c:valAx>
        <c:axId val="881857552"/>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1859192"/>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8.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9.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4.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5.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editAs="absolute">
    <xdr:from>
      <xdr:col>4</xdr:col>
      <xdr:colOff>114300</xdr:colOff>
      <xdr:row>7</xdr:row>
      <xdr:rowOff>9525</xdr:rowOff>
    </xdr:from>
    <xdr:to>
      <xdr:col>6</xdr:col>
      <xdr:colOff>266700</xdr:colOff>
      <xdr:row>8</xdr:row>
      <xdr:rowOff>171450</xdr:rowOff>
    </xdr:to>
    <xdr:sp macro="[0]!start" textlink="">
      <xdr:nvSpPr>
        <xdr:cNvPr id="2" name="Rounded Rectangle 1">
          <a:extLst>
            <a:ext uri="{FF2B5EF4-FFF2-40B4-BE49-F238E27FC236}">
              <a16:creationId xmlns:a16="http://schemas.microsoft.com/office/drawing/2014/main" id="{00000000-0008-0000-0000-000002000000}"/>
            </a:ext>
          </a:extLst>
        </xdr:cNvPr>
        <xdr:cNvSpPr/>
      </xdr:nvSpPr>
      <xdr:spPr>
        <a:xfrm>
          <a:off x="3543300" y="1352550"/>
          <a:ext cx="1371600" cy="352425"/>
        </a:xfrm>
        <a:prstGeom prst="roundRect">
          <a:avLst/>
        </a:prstGeom>
        <a:solidFill>
          <a:schemeClr val="accent1">
            <a:lumMod val="75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1100" b="1"/>
            <a:t>Start OI Update</a:t>
          </a:r>
        </a:p>
      </xdr:txBody>
    </xdr:sp>
    <xdr:clientData/>
  </xdr:twoCellAnchor>
  <xdr:twoCellAnchor editAs="absolute">
    <xdr:from>
      <xdr:col>2</xdr:col>
      <xdr:colOff>523875</xdr:colOff>
      <xdr:row>7</xdr:row>
      <xdr:rowOff>9525</xdr:rowOff>
    </xdr:from>
    <xdr:to>
      <xdr:col>3</xdr:col>
      <xdr:colOff>295275</xdr:colOff>
      <xdr:row>8</xdr:row>
      <xdr:rowOff>171450</xdr:rowOff>
    </xdr:to>
    <xdr:sp macro="[0]!ClearData" textlink="">
      <xdr:nvSpPr>
        <xdr:cNvPr id="3" name="Rounded Rectangle 2">
          <a:extLst>
            <a:ext uri="{FF2B5EF4-FFF2-40B4-BE49-F238E27FC236}">
              <a16:creationId xmlns:a16="http://schemas.microsoft.com/office/drawing/2014/main" id="{00000000-0008-0000-0000-000003000000}"/>
            </a:ext>
          </a:extLst>
        </xdr:cNvPr>
        <xdr:cNvSpPr/>
      </xdr:nvSpPr>
      <xdr:spPr>
        <a:xfrm>
          <a:off x="1743075" y="1352550"/>
          <a:ext cx="1371600" cy="352425"/>
        </a:xfrm>
        <a:prstGeom prst="roundRect">
          <a:avLst/>
        </a:prstGeom>
        <a:solidFill>
          <a:schemeClr val="accent1">
            <a:lumMod val="75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1100" b="1"/>
            <a:t>Clear Data</a:t>
          </a:r>
        </a:p>
      </xdr:txBody>
    </xdr:sp>
    <xdr:clientData/>
  </xdr:twoCellAnchor>
  <xdr:twoCellAnchor editAs="absolute">
    <xdr:from>
      <xdr:col>7</xdr:col>
      <xdr:colOff>57150</xdr:colOff>
      <xdr:row>7</xdr:row>
      <xdr:rowOff>9525</xdr:rowOff>
    </xdr:from>
    <xdr:to>
      <xdr:col>9</xdr:col>
      <xdr:colOff>209550</xdr:colOff>
      <xdr:row>8</xdr:row>
      <xdr:rowOff>171450</xdr:rowOff>
    </xdr:to>
    <xdr:sp macro="[0]!SetStopMacro" textlink="">
      <xdr:nvSpPr>
        <xdr:cNvPr id="4" name="Rounded Rectangle 3">
          <a:extLst>
            <a:ext uri="{FF2B5EF4-FFF2-40B4-BE49-F238E27FC236}">
              <a16:creationId xmlns:a16="http://schemas.microsoft.com/office/drawing/2014/main" id="{00000000-0008-0000-0000-000004000000}"/>
            </a:ext>
          </a:extLst>
        </xdr:cNvPr>
        <xdr:cNvSpPr/>
      </xdr:nvSpPr>
      <xdr:spPr>
        <a:xfrm>
          <a:off x="5314950" y="1352550"/>
          <a:ext cx="1371600" cy="352425"/>
        </a:xfrm>
        <a:prstGeom prst="roundRect">
          <a:avLst/>
        </a:prstGeom>
        <a:solidFill>
          <a:schemeClr val="accent1">
            <a:lumMod val="75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1100" b="1"/>
            <a:t>Stop OI Update</a:t>
          </a:r>
        </a:p>
      </xdr:txBody>
    </xdr:sp>
    <xdr:clientData/>
  </xdr:twoCellAnchor>
  <xdr:twoCellAnchor editAs="oneCell">
    <xdr:from>
      <xdr:col>1</xdr:col>
      <xdr:colOff>0</xdr:colOff>
      <xdr:row>30</xdr:row>
      <xdr:rowOff>0</xdr:rowOff>
    </xdr:from>
    <xdr:to>
      <xdr:col>10</xdr:col>
      <xdr:colOff>122987</xdr:colOff>
      <xdr:row>44</xdr:row>
      <xdr:rowOff>18714</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609600" y="6667500"/>
          <a:ext cx="6704762" cy="2685714"/>
        </a:xfrm>
        <a:prstGeom prst="rect">
          <a:avLst/>
        </a:prstGeom>
      </xdr:spPr>
    </xdr:pic>
    <xdr:clientData/>
  </xdr:twoCellAnchor>
  <xdr:twoCellAnchor editAs="oneCell">
    <xdr:from>
      <xdr:col>11</xdr:col>
      <xdr:colOff>0</xdr:colOff>
      <xdr:row>33</xdr:row>
      <xdr:rowOff>0</xdr:rowOff>
    </xdr:from>
    <xdr:to>
      <xdr:col>14</xdr:col>
      <xdr:colOff>418819</xdr:colOff>
      <xdr:row>36</xdr:row>
      <xdr:rowOff>95167</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7800975" y="7239000"/>
          <a:ext cx="2247619" cy="6666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609599</xdr:colOff>
      <xdr:row>1</xdr:row>
      <xdr:rowOff>0</xdr:rowOff>
    </xdr:from>
    <xdr:to>
      <xdr:col>8</xdr:col>
      <xdr:colOff>590550</xdr:colOff>
      <xdr:row>15</xdr:row>
      <xdr:rowOff>66676</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238125</xdr:colOff>
      <xdr:row>1</xdr:row>
      <xdr:rowOff>0</xdr:rowOff>
    </xdr:from>
    <xdr:to>
      <xdr:col>17</xdr:col>
      <xdr:colOff>276225</xdr:colOff>
      <xdr:row>15</xdr:row>
      <xdr:rowOff>95250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9525</xdr:colOff>
      <xdr:row>17</xdr:row>
      <xdr:rowOff>19050</xdr:rowOff>
    </xdr:from>
    <xdr:to>
      <xdr:col>8</xdr:col>
      <xdr:colOff>600075</xdr:colOff>
      <xdr:row>32</xdr:row>
      <xdr:rowOff>152400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285751</xdr:colOff>
      <xdr:row>17</xdr:row>
      <xdr:rowOff>9523</xdr:rowOff>
    </xdr:from>
    <xdr:to>
      <xdr:col>17</xdr:col>
      <xdr:colOff>314325</xdr:colOff>
      <xdr:row>32</xdr:row>
      <xdr:rowOff>123824</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xdr:colOff>
      <xdr:row>35</xdr:row>
      <xdr:rowOff>1</xdr:rowOff>
    </xdr:from>
    <xdr:to>
      <xdr:col>9</xdr:col>
      <xdr:colOff>76200</xdr:colOff>
      <xdr:row>51</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285750</xdr:colOff>
      <xdr:row>34</xdr:row>
      <xdr:rowOff>180974</xdr:rowOff>
    </xdr:from>
    <xdr:to>
      <xdr:col>17</xdr:col>
      <xdr:colOff>304800</xdr:colOff>
      <xdr:row>51</xdr:row>
      <xdr:rowOff>114299</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53</xdr:row>
      <xdr:rowOff>0</xdr:rowOff>
    </xdr:from>
    <xdr:to>
      <xdr:col>9</xdr:col>
      <xdr:colOff>93549</xdr:colOff>
      <xdr:row>69</xdr:row>
      <xdr:rowOff>25513</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280647</xdr:colOff>
      <xdr:row>52</xdr:row>
      <xdr:rowOff>178593</xdr:rowOff>
    </xdr:from>
    <xdr:to>
      <xdr:col>17</xdr:col>
      <xdr:colOff>340179</xdr:colOff>
      <xdr:row>69</xdr:row>
      <xdr:rowOff>51027</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0</xdr:row>
          <xdr:rowOff>38100</xdr:rowOff>
        </xdr:from>
        <xdr:to>
          <xdr:col>18</xdr:col>
          <xdr:colOff>590550</xdr:colOff>
          <xdr:row>2</xdr:row>
          <xdr:rowOff>57150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cs typeface="Calibri"/>
                </a:rPr>
                <a:t>Refresh</a:t>
              </a:r>
            </a:p>
            <a:p>
              <a:pPr algn="ctr" rtl="0">
                <a:defRPr sz="1000"/>
              </a:pPr>
              <a:r>
                <a:rPr lang="en-IN" sz="1100" b="1" i="0" u="none" strike="noStrike" baseline="0">
                  <a:solidFill>
                    <a:srgbClr val="000000"/>
                  </a:solidFill>
                  <a:latin typeface="Calibri"/>
                  <a:cs typeface="Calibri"/>
                </a:rPr>
                <a:t>(Manually)</a:t>
              </a:r>
            </a:p>
          </xdr:txBody>
        </xdr:sp>
        <xdr:clientData fPrintsWithSheet="0"/>
      </xdr:twoCellAnchor>
    </mc:Choice>
    <mc:Fallback/>
  </mc:AlternateContent>
  <xdr:twoCellAnchor>
    <xdr:from>
      <xdr:col>1</xdr:col>
      <xdr:colOff>10582</xdr:colOff>
      <xdr:row>22</xdr:row>
      <xdr:rowOff>152400</xdr:rowOff>
    </xdr:from>
    <xdr:to>
      <xdr:col>6</xdr:col>
      <xdr:colOff>10582</xdr:colOff>
      <xdr:row>37</xdr:row>
      <xdr:rowOff>38100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645582</xdr:colOff>
      <xdr:row>22</xdr:row>
      <xdr:rowOff>158750</xdr:rowOff>
    </xdr:from>
    <xdr:to>
      <xdr:col>13</xdr:col>
      <xdr:colOff>232833</xdr:colOff>
      <xdr:row>37</xdr:row>
      <xdr:rowOff>31750</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0</xdr:row>
          <xdr:rowOff>38100</xdr:rowOff>
        </xdr:from>
        <xdr:to>
          <xdr:col>18</xdr:col>
          <xdr:colOff>590550</xdr:colOff>
          <xdr:row>2</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cs typeface="Calibri"/>
                </a:rPr>
                <a:t>Refresh</a:t>
              </a:r>
            </a:p>
            <a:p>
              <a:pPr algn="ctr" rtl="0">
                <a:defRPr sz="1000"/>
              </a:pPr>
              <a:r>
                <a:rPr lang="en-IN" sz="1100" b="1" i="0" u="none" strike="noStrike" baseline="0">
                  <a:solidFill>
                    <a:srgbClr val="000000"/>
                  </a:solidFill>
                  <a:latin typeface="Calibri"/>
                  <a:cs typeface="Calibri"/>
                </a:rPr>
                <a:t>(Manually)</a:t>
              </a:r>
            </a:p>
          </xdr:txBody>
        </xdr:sp>
        <xdr:clientData fPrintsWithSheet="0"/>
      </xdr:twoCellAnchor>
    </mc:Choice>
    <mc:Fallback/>
  </mc:AlternateContent>
  <xdr:twoCellAnchor>
    <xdr:from>
      <xdr:col>1</xdr:col>
      <xdr:colOff>10582</xdr:colOff>
      <xdr:row>22</xdr:row>
      <xdr:rowOff>152400</xdr:rowOff>
    </xdr:from>
    <xdr:to>
      <xdr:col>6</xdr:col>
      <xdr:colOff>10582</xdr:colOff>
      <xdr:row>37</xdr:row>
      <xdr:rowOff>38100</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23</xdr:row>
      <xdr:rowOff>0</xdr:rowOff>
    </xdr:from>
    <xdr:to>
      <xdr:col>13</xdr:col>
      <xdr:colOff>254001</xdr:colOff>
      <xdr:row>37</xdr:row>
      <xdr:rowOff>63500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123825</xdr:colOff>
      <xdr:row>0</xdr:row>
      <xdr:rowOff>181534</xdr:rowOff>
    </xdr:from>
    <xdr:to>
      <xdr:col>21</xdr:col>
      <xdr:colOff>352425</xdr:colOff>
      <xdr:row>17</xdr:row>
      <xdr:rowOff>161925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152400</xdr:colOff>
      <xdr:row>18</xdr:row>
      <xdr:rowOff>152400</xdr:rowOff>
    </xdr:from>
    <xdr:to>
      <xdr:col>21</xdr:col>
      <xdr:colOff>342900</xdr:colOff>
      <xdr:row>36</xdr:row>
      <xdr:rowOff>19050</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142874</xdr:colOff>
      <xdr:row>37</xdr:row>
      <xdr:rowOff>47625</xdr:rowOff>
    </xdr:from>
    <xdr:to>
      <xdr:col>21</xdr:col>
      <xdr:colOff>361949</xdr:colOff>
      <xdr:row>54</xdr:row>
      <xdr:rowOff>161925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171450</xdr:colOff>
      <xdr:row>1</xdr:row>
      <xdr:rowOff>9526</xdr:rowOff>
    </xdr:from>
    <xdr:to>
      <xdr:col>20</xdr:col>
      <xdr:colOff>466725</xdr:colOff>
      <xdr:row>17</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190501</xdr:colOff>
      <xdr:row>18</xdr:row>
      <xdr:rowOff>95250</xdr:rowOff>
    </xdr:from>
    <xdr:to>
      <xdr:col>20</xdr:col>
      <xdr:colOff>476251</xdr:colOff>
      <xdr:row>36</xdr:row>
      <xdr:rowOff>19049</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190500</xdr:colOff>
      <xdr:row>36</xdr:row>
      <xdr:rowOff>152400</xdr:rowOff>
    </xdr:from>
    <xdr:to>
      <xdr:col>20</xdr:col>
      <xdr:colOff>476250</xdr:colOff>
      <xdr:row>52</xdr:row>
      <xdr:rowOff>95250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00000000-0016-0000-0600-000000000000}" autoFormatId="0" applyNumberFormats="0" applyBorderFormats="0" applyFontFormats="1" applyPatternFormats="1" applyAlignmentFormats="0" applyWidthHeightFormats="0">
  <queryTableRefresh preserveSortFilterLayout="0" nextId="17">
    <queryTableFields count="16">
      <queryTableField id="1" name="Column1.strikePrice" tableColumnId="129"/>
      <queryTableField id="2" name="Column1.expiryDate" tableColumnId="130"/>
      <queryTableField id="3" name="CALL.openInterest" tableColumnId="131"/>
      <queryTableField id="4" name="CALL.changeinOpenInterest" tableColumnId="132"/>
      <queryTableField id="5" name="CALL.totalTradedVolume" tableColumnId="133"/>
      <queryTableField id="6" name="CALL.impliedVolatility" tableColumnId="134"/>
      <queryTableField id="7" name="CALL.lastPrice" tableColumnId="135"/>
      <queryTableField id="8" name="CALL.change" tableColumnId="136"/>
      <queryTableField id="9" name="PUT.openInterest" tableColumnId="137"/>
      <queryTableField id="10" name="PUT.changeinOpenInterest" tableColumnId="138"/>
      <queryTableField id="11" name="PUT.totalTradedVolume" tableColumnId="139"/>
      <queryTableField id="12" name="PUT.impliedVolatility" tableColumnId="140"/>
      <queryTableField id="13" name="PUT.lastPrice" tableColumnId="141"/>
      <queryTableField id="14" name="PUT.change" tableColumnId="142"/>
      <queryTableField id="15" name="PUT.underlyingValue" tableColumnId="143"/>
      <queryTableField id="16" name="PUT.underlying" tableColumnId="14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00000000-0016-0000-0700-000001000000}" autoFormatId="0" applyNumberFormats="0" applyBorderFormats="0" applyFontFormats="1" applyPatternFormats="1" applyAlignmentFormats="0" applyWidthHeightFormats="0">
  <queryTableRefresh preserveSortFilterLayout="0" nextId="17">
    <queryTableFields count="16">
      <queryTableField id="1" name="Column1.strikePrice" tableColumnId="129"/>
      <queryTableField id="2" name="Column1.expiryDate" tableColumnId="130"/>
      <queryTableField id="3" name="CALL.openInterest" tableColumnId="131"/>
      <queryTableField id="4" name="CALL.changeinOpenInterest" tableColumnId="132"/>
      <queryTableField id="5" name="CALL.totalTradedVolume" tableColumnId="133"/>
      <queryTableField id="6" name="CALL.impliedVolatility" tableColumnId="134"/>
      <queryTableField id="7" name="CALL.lastPrice" tableColumnId="135"/>
      <queryTableField id="8" name="CALL.change" tableColumnId="136"/>
      <queryTableField id="9" name="PUT.openInterest" tableColumnId="137"/>
      <queryTableField id="10" name="PUT.changeinOpenInterest" tableColumnId="138"/>
      <queryTableField id="11" name="PUT.totalTradedVolume" tableColumnId="139"/>
      <queryTableField id="12" name="PUT.impliedVolatility" tableColumnId="140"/>
      <queryTableField id="13" name="PUT.lastPrice" tableColumnId="141"/>
      <queryTableField id="14" name="PUT.change" tableColumnId="142"/>
      <queryTableField id="15" name="PUT.underlyingValue" tableColumnId="143"/>
      <queryTableField id="16" name="PUT.underlying" tableColumnId="14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OptionDataBNF" displayName="OptionDataBNF" ref="B5:Q118" tableType="queryTable" totalsRowShown="0" headerRowDxfId="44" dataDxfId="43">
  <autoFilter ref="B5:Q118" xr:uid="{00000000-000C-0000-FFFF-FFFF00000000}"/>
  <tableColumns count="16">
    <tableColumn id="129" xr3:uid="{642D6DB1-C0AE-47D1-B883-2D86A3B424D7}" uniqueName="129" name="Column1.strikePrice" queryTableFieldId="1" dataDxfId="31"/>
    <tableColumn id="130" xr3:uid="{886AF0CD-6DCC-4A5A-AAFA-4792629B5BDB}" uniqueName="130" name="Column1.expiryDate" queryTableFieldId="2" dataDxfId="30"/>
    <tableColumn id="131" xr3:uid="{E1AFF867-A4AF-43DD-B288-18FCD6F8AEA6}" uniqueName="131" name="CALL.openInterest" queryTableFieldId="3" dataDxfId="29"/>
    <tableColumn id="132" xr3:uid="{812EF87D-1480-47C7-97D8-321C4EA82307}" uniqueName="132" name="CALL.changeinOpenInterest" queryTableFieldId="4" dataDxfId="28"/>
    <tableColumn id="133" xr3:uid="{EA267081-DE34-4200-8B50-3780C6F8B3FE}" uniqueName="133" name="CALL.totalTradedVolume" queryTableFieldId="5" dataDxfId="27"/>
    <tableColumn id="134" xr3:uid="{4D9EF07A-4733-4230-849F-B9A26D166F53}" uniqueName="134" name="CALL.impliedVolatility" queryTableFieldId="6" dataDxfId="26"/>
    <tableColumn id="135" xr3:uid="{7517F0EB-4604-47A9-8288-7184AEEFE4A0}" uniqueName="135" name="CALL.lastPrice" queryTableFieldId="7" dataDxfId="25"/>
    <tableColumn id="136" xr3:uid="{D4F6DE9C-8609-4150-B00C-6221FF1EF1D4}" uniqueName="136" name="CALL.change" queryTableFieldId="8" dataDxfId="24"/>
    <tableColumn id="137" xr3:uid="{4A92B8F9-4B1A-4FD4-A327-2BD383FCBA89}" uniqueName="137" name="PUT.openInterest" queryTableFieldId="9" dataDxfId="23"/>
    <tableColumn id="138" xr3:uid="{783FD109-1C2B-4A69-9A08-656386AF0EB0}" uniqueName="138" name="PUT.changeinOpenInterest" queryTableFieldId="10" dataDxfId="22"/>
    <tableColumn id="139" xr3:uid="{8299E42D-151E-4140-BE20-D63AE2E85378}" uniqueName="139" name="PUT.totalTradedVolume" queryTableFieldId="11" dataDxfId="21"/>
    <tableColumn id="140" xr3:uid="{1ECA3360-1AB4-4942-AC1B-5E4004389B9F}" uniqueName="140" name="PUT.impliedVolatility" queryTableFieldId="12" dataDxfId="20"/>
    <tableColumn id="141" xr3:uid="{B51FD518-F740-4EBF-AFC7-79518323FFC3}" uniqueName="141" name="PUT.lastPrice" queryTableFieldId="13" dataDxfId="19"/>
    <tableColumn id="142" xr3:uid="{28C0B1B4-5926-4EF3-9EF5-89639DB7C099}" uniqueName="142" name="PUT.change" queryTableFieldId="14" dataDxfId="18"/>
    <tableColumn id="143" xr3:uid="{7C8CA11F-3623-4754-A89C-9B1FB56EE8FA}" uniqueName="143" name="PUT.underlyingValue" queryTableFieldId="15" dataDxfId="17"/>
    <tableColumn id="144" xr3:uid="{5E8E4178-0D90-4B7F-969B-F9D6338CD8BA}" uniqueName="144" name="PUT.underlying" queryTableFieldId="16" dataDxfId="1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OptionData" displayName="OptionData" ref="B5:Q113" tableType="queryTable" totalsRowShown="0" headerRowDxfId="42" dataDxfId="41">
  <autoFilter ref="B5:Q113" xr:uid="{00000000-000C-0000-FFFF-FFFF01000000}"/>
  <tableColumns count="16">
    <tableColumn id="129" xr3:uid="{E9482749-0B64-4296-AC52-303ABE6A3A04}" uniqueName="129" name="Column1.strikePrice" queryTableFieldId="1" dataDxfId="15"/>
    <tableColumn id="130" xr3:uid="{C395A7F9-6ADD-474D-8C8E-203413F822AC}" uniqueName="130" name="Column1.expiryDate" queryTableFieldId="2" dataDxfId="14"/>
    <tableColumn id="131" xr3:uid="{C76F9C23-F07E-4427-8442-57CF3C601C8B}" uniqueName="131" name="CALL.openInterest" queryTableFieldId="3" dataDxfId="13"/>
    <tableColumn id="132" xr3:uid="{46DF31AD-07B2-4BE1-8936-CFA6E3FBD9D9}" uniqueName="132" name="CALL.changeinOpenInterest" queryTableFieldId="4" dataDxfId="12"/>
    <tableColumn id="133" xr3:uid="{C1AFF06E-FB21-4213-B7A5-367AC4815105}" uniqueName="133" name="CALL.totalTradedVolume" queryTableFieldId="5" dataDxfId="11"/>
    <tableColumn id="134" xr3:uid="{34006091-01AE-4062-9709-D7FBCBFEF1C9}" uniqueName="134" name="CALL.impliedVolatility" queryTableFieldId="6" dataDxfId="10"/>
    <tableColumn id="135" xr3:uid="{D088C17B-4993-4B5A-B4F0-17E135DE3F20}" uniqueName="135" name="CALL.lastPrice" queryTableFieldId="7" dataDxfId="9"/>
    <tableColumn id="136" xr3:uid="{9BBC7D0C-A74B-4CE0-A034-35AC1D45DFCF}" uniqueName="136" name="CALL.change" queryTableFieldId="8" dataDxfId="8"/>
    <tableColumn id="137" xr3:uid="{28E31412-DB47-482F-A1C2-BF827C7A6724}" uniqueName="137" name="PUT.openInterest" queryTableFieldId="9" dataDxfId="7"/>
    <tableColumn id="138" xr3:uid="{55F32507-9853-43D9-A407-D16CA582CD43}" uniqueName="138" name="PUT.changeinOpenInterest" queryTableFieldId="10" dataDxfId="6"/>
    <tableColumn id="139" xr3:uid="{96F4924C-78C5-4AF0-8462-090D5DA886FD}" uniqueName="139" name="PUT.totalTradedVolume" queryTableFieldId="11" dataDxfId="5"/>
    <tableColumn id="140" xr3:uid="{0B649E14-89E2-4A22-BB9F-027325214D2F}" uniqueName="140" name="PUT.impliedVolatility" queryTableFieldId="12" dataDxfId="4"/>
    <tableColumn id="141" xr3:uid="{83CDFADF-A13F-4547-ABED-1FD4F8189FF8}" uniqueName="141" name="PUT.lastPrice" queryTableFieldId="13" dataDxfId="3"/>
    <tableColumn id="142" xr3:uid="{D2252EA9-240B-4278-9E0A-C00F16BDEAA3}" uniqueName="142" name="PUT.change" queryTableFieldId="14" dataDxfId="2"/>
    <tableColumn id="143" xr3:uid="{9C58C528-9B26-49CB-BA4B-5929036A8928}" uniqueName="143" name="PUT.underlyingValue" queryTableFieldId="15" dataDxfId="1"/>
    <tableColumn id="144" xr3:uid="{CE3BAEE1-332E-416E-B693-EC039EA05213}" uniqueName="144" name="PUT.underlying" queryTableFieldId="16"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F2:F3" totalsRowShown="0" headerRowBorderDxfId="40" tableBorderDxfId="39" totalsRowBorderDxfId="38">
  <tableColumns count="1">
    <tableColumn id="1" xr3:uid="{00000000-0010-0000-0200-000001000000}" name="cookie" dataDxfId="3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F3:F4" totalsRowShown="0" headerRowDxfId="36" dataDxfId="34" headerRowBorderDxfId="35" tableBorderDxfId="33">
  <tableColumns count="1">
    <tableColumn id="1" xr3:uid="{00000000-0010-0000-0300-000001000000}" name="SYMBOL"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H3:H4" totalsRowShown="0">
  <tableColumns count="1">
    <tableColumn id="1" xr3:uid="{00000000-0010-0000-0400-000001000000}" name="OPTION TYPE">
      <calculatedColumnFormula>IF(OR(F4="NIFTY",F4="BANKNIFTY"),D4,D5)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3:P29"/>
  <sheetViews>
    <sheetView showGridLines="0" workbookViewId="0"/>
  </sheetViews>
  <sheetFormatPr defaultRowHeight="15" x14ac:dyDescent="0.25"/>
  <cols>
    <col min="1" max="2" width="9.140625" style="31"/>
    <col min="3" max="3" width="24" style="31" customWidth="1"/>
    <col min="4" max="9" width="9.140625" style="31"/>
    <col min="10" max="10" width="10.7109375" style="31" customWidth="1"/>
    <col min="11" max="16384" width="9.140625" style="31"/>
  </cols>
  <sheetData>
    <row r="3" spans="2:16" x14ac:dyDescent="0.25">
      <c r="C3" s="43">
        <f ca="1">NOW()</f>
        <v>44788.574220949071</v>
      </c>
    </row>
    <row r="4" spans="2:16" ht="15.75" thickBot="1" x14ac:dyDescent="0.3"/>
    <row r="5" spans="2:16" x14ac:dyDescent="0.25">
      <c r="C5" s="33"/>
      <c r="D5" s="34"/>
      <c r="E5" s="34"/>
      <c r="F5" s="34"/>
      <c r="G5" s="34"/>
      <c r="H5" s="34"/>
      <c r="I5" s="34"/>
      <c r="J5" s="35"/>
    </row>
    <row r="6" spans="2:16" x14ac:dyDescent="0.25">
      <c r="C6" s="36"/>
      <c r="D6" s="32"/>
      <c r="E6" s="32"/>
      <c r="F6" s="32"/>
      <c r="G6" s="32"/>
      <c r="H6" s="32"/>
      <c r="I6" s="32"/>
      <c r="J6" s="37"/>
    </row>
    <row r="7" spans="2:16" x14ac:dyDescent="0.25">
      <c r="C7" s="36"/>
      <c r="D7" s="32"/>
      <c r="E7" s="32"/>
      <c r="F7" s="32"/>
      <c r="G7" s="32"/>
      <c r="H7" s="32"/>
      <c r="I7" s="32"/>
      <c r="J7" s="37"/>
    </row>
    <row r="8" spans="2:16" x14ac:dyDescent="0.25">
      <c r="C8" s="36"/>
      <c r="D8" s="32"/>
      <c r="E8" s="32"/>
      <c r="F8" s="32"/>
      <c r="G8" s="32"/>
      <c r="H8" s="32"/>
      <c r="I8" s="32"/>
      <c r="J8" s="37"/>
    </row>
    <row r="9" spans="2:16" x14ac:dyDescent="0.25">
      <c r="C9" s="36"/>
      <c r="D9" s="32"/>
      <c r="E9" s="32"/>
      <c r="F9" s="32"/>
      <c r="G9" s="32"/>
      <c r="H9" s="32"/>
      <c r="I9" s="32"/>
      <c r="J9" s="37"/>
    </row>
    <row r="10" spans="2:16" x14ac:dyDescent="0.25">
      <c r="C10" s="36"/>
      <c r="D10" s="32"/>
      <c r="E10" s="32"/>
      <c r="F10" s="32"/>
      <c r="G10" s="32"/>
      <c r="H10" s="32"/>
      <c r="I10" s="32"/>
      <c r="J10" s="37"/>
    </row>
    <row r="11" spans="2:16" x14ac:dyDescent="0.25">
      <c r="C11" s="36"/>
      <c r="D11" s="32"/>
      <c r="E11" s="32"/>
      <c r="F11" s="32"/>
      <c r="G11" s="32"/>
      <c r="H11" s="32"/>
      <c r="I11" s="32"/>
      <c r="J11" s="37"/>
    </row>
    <row r="12" spans="2:16" ht="15.75" thickBot="1" x14ac:dyDescent="0.3">
      <c r="C12" s="38"/>
      <c r="D12" s="39"/>
      <c r="E12" s="39"/>
      <c r="F12" s="39"/>
      <c r="G12" s="39"/>
      <c r="H12" s="39"/>
      <c r="I12" s="39"/>
      <c r="J12" s="40"/>
    </row>
    <row r="15" spans="2:16" ht="18.75" x14ac:dyDescent="0.3">
      <c r="B15" s="42" t="s">
        <v>210</v>
      </c>
    </row>
    <row r="16" spans="2:16" ht="27" customHeight="1" x14ac:dyDescent="0.25">
      <c r="B16" s="94" t="s">
        <v>213</v>
      </c>
      <c r="C16" s="94"/>
      <c r="D16" s="94"/>
      <c r="E16" s="94"/>
      <c r="F16" s="94"/>
      <c r="G16" s="94"/>
      <c r="H16" s="94"/>
      <c r="I16" s="94"/>
      <c r="J16" s="94"/>
      <c r="K16" s="94"/>
      <c r="L16" s="94"/>
      <c r="M16" s="94"/>
      <c r="N16" s="94"/>
      <c r="O16" s="94"/>
      <c r="P16" s="94"/>
    </row>
    <row r="17" spans="2:16" x14ac:dyDescent="0.25">
      <c r="B17" s="92" t="s">
        <v>212</v>
      </c>
      <c r="C17" s="92"/>
      <c r="D17" s="92"/>
      <c r="E17" s="92"/>
      <c r="F17" s="92"/>
      <c r="G17" s="92"/>
      <c r="H17" s="92"/>
      <c r="I17" s="92"/>
      <c r="J17" s="92"/>
      <c r="K17" s="92"/>
      <c r="L17" s="92"/>
      <c r="M17" s="92"/>
      <c r="N17" s="92"/>
      <c r="O17" s="92"/>
      <c r="P17" s="92"/>
    </row>
    <row r="18" spans="2:16" x14ac:dyDescent="0.25">
      <c r="B18" s="92" t="s">
        <v>211</v>
      </c>
      <c r="C18" s="92"/>
      <c r="D18" s="92"/>
      <c r="E18" s="92"/>
      <c r="F18" s="92"/>
      <c r="G18" s="92"/>
      <c r="H18" s="92"/>
      <c r="I18" s="92"/>
      <c r="J18" s="92"/>
      <c r="K18" s="92"/>
      <c r="L18" s="92"/>
      <c r="M18" s="92"/>
      <c r="N18" s="92"/>
      <c r="O18" s="92"/>
      <c r="P18" s="92"/>
    </row>
    <row r="19" spans="2:16" x14ac:dyDescent="0.25">
      <c r="B19" s="92" t="s">
        <v>214</v>
      </c>
      <c r="C19" s="92"/>
      <c r="D19" s="92"/>
      <c r="E19" s="92"/>
      <c r="F19" s="92"/>
      <c r="G19" s="92"/>
      <c r="H19" s="92"/>
      <c r="I19" s="92"/>
      <c r="J19" s="92"/>
      <c r="K19" s="92"/>
      <c r="L19" s="92"/>
      <c r="M19" s="92"/>
      <c r="N19" s="92"/>
      <c r="O19" s="92"/>
      <c r="P19" s="92"/>
    </row>
    <row r="20" spans="2:16" x14ac:dyDescent="0.25">
      <c r="B20" s="92" t="s">
        <v>215</v>
      </c>
      <c r="C20" s="92"/>
      <c r="D20" s="92"/>
      <c r="E20" s="92"/>
      <c r="F20" s="92"/>
      <c r="G20" s="92"/>
      <c r="H20" s="92"/>
      <c r="I20" s="92"/>
      <c r="J20" s="92"/>
      <c r="K20" s="92"/>
      <c r="L20" s="92"/>
      <c r="M20" s="92"/>
      <c r="N20" s="92"/>
      <c r="O20" s="92"/>
      <c r="P20" s="92"/>
    </row>
    <row r="21" spans="2:16" x14ac:dyDescent="0.25">
      <c r="B21" s="92" t="s">
        <v>216</v>
      </c>
      <c r="C21" s="92"/>
      <c r="D21" s="92"/>
      <c r="E21" s="92"/>
      <c r="F21" s="92"/>
      <c r="G21" s="92"/>
      <c r="H21" s="92"/>
      <c r="I21" s="92"/>
      <c r="J21" s="92"/>
      <c r="K21" s="92"/>
      <c r="L21" s="92"/>
      <c r="M21" s="92"/>
      <c r="N21" s="92"/>
      <c r="O21" s="92"/>
      <c r="P21" s="92"/>
    </row>
    <row r="22" spans="2:16" x14ac:dyDescent="0.25">
      <c r="B22" s="92" t="s">
        <v>217</v>
      </c>
      <c r="C22" s="92"/>
      <c r="D22" s="92"/>
      <c r="E22" s="92"/>
      <c r="F22" s="92"/>
      <c r="G22" s="92"/>
      <c r="H22" s="92"/>
      <c r="I22" s="92"/>
      <c r="J22" s="92"/>
      <c r="K22" s="92"/>
      <c r="L22" s="92"/>
      <c r="M22" s="92"/>
      <c r="N22" s="92"/>
      <c r="O22" s="92"/>
      <c r="P22" s="92"/>
    </row>
    <row r="23" spans="2:16" x14ac:dyDescent="0.25">
      <c r="B23" s="41"/>
      <c r="C23" s="41"/>
      <c r="D23" s="41"/>
      <c r="E23" s="41"/>
      <c r="F23" s="41"/>
      <c r="G23" s="41"/>
      <c r="H23" s="41"/>
      <c r="I23" s="41"/>
      <c r="J23" s="41"/>
      <c r="K23" s="41"/>
    </row>
    <row r="24" spans="2:16" x14ac:dyDescent="0.25">
      <c r="B24" s="48" t="s">
        <v>218</v>
      </c>
      <c r="C24" s="46"/>
      <c r="D24" s="46"/>
      <c r="E24" s="46"/>
      <c r="F24" s="46"/>
      <c r="G24" s="46"/>
      <c r="H24" s="46"/>
      <c r="I24" s="46"/>
      <c r="J24" s="46"/>
      <c r="K24" s="46"/>
      <c r="L24" s="47"/>
      <c r="M24" s="47"/>
      <c r="N24" s="47"/>
      <c r="O24" s="47"/>
    </row>
    <row r="25" spans="2:16" s="45" customFormat="1" ht="72.75" customHeight="1" x14ac:dyDescent="0.25">
      <c r="B25" s="93" t="s">
        <v>219</v>
      </c>
      <c r="C25" s="93"/>
      <c r="D25" s="93"/>
      <c r="E25" s="93"/>
      <c r="F25" s="93"/>
      <c r="G25" s="93"/>
      <c r="H25" s="93"/>
      <c r="I25" s="93"/>
      <c r="J25" s="93"/>
      <c r="K25" s="93"/>
      <c r="L25" s="93"/>
      <c r="M25" s="93"/>
      <c r="N25" s="93"/>
      <c r="O25" s="93"/>
    </row>
    <row r="27" spans="2:16" x14ac:dyDescent="0.25">
      <c r="B27" s="53" t="s">
        <v>220</v>
      </c>
    </row>
    <row r="29" spans="2:16" x14ac:dyDescent="0.25">
      <c r="B29" s="44" t="s">
        <v>221</v>
      </c>
    </row>
  </sheetData>
  <mergeCells count="8">
    <mergeCell ref="B22:P22"/>
    <mergeCell ref="B25:O25"/>
    <mergeCell ref="B16:P16"/>
    <mergeCell ref="B17:P17"/>
    <mergeCell ref="B18:P18"/>
    <mergeCell ref="B19:P19"/>
    <mergeCell ref="B20:P20"/>
    <mergeCell ref="B21:P2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
  <sheetViews>
    <sheetView showGridLines="0" zoomScale="112" zoomScaleNormal="112" workbookViewId="0">
      <selection activeCell="J4" sqref="J4"/>
    </sheetView>
  </sheetViews>
  <sheetFormatPr defaultRowHeight="15" x14ac:dyDescent="0.25"/>
  <cols>
    <col min="1" max="16384" width="9.140625" style="85"/>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F56"/>
  <sheetViews>
    <sheetView tabSelected="1" zoomScale="98" zoomScaleNormal="98" workbookViewId="0">
      <selection activeCell="X11" sqref="X11"/>
    </sheetView>
  </sheetViews>
  <sheetFormatPr defaultRowHeight="15" x14ac:dyDescent="0.25"/>
  <cols>
    <col min="1" max="1" width="2.5703125" style="1" customWidth="1"/>
    <col min="2" max="2" width="16.28515625" style="1" customWidth="1"/>
    <col min="3" max="3" width="15.5703125" style="1" customWidth="1"/>
    <col min="4" max="4" width="15.85546875" style="1" customWidth="1"/>
    <col min="5" max="5" width="11.42578125" style="1" customWidth="1"/>
    <col min="6" max="6" width="10.7109375" style="1" customWidth="1"/>
    <col min="7" max="8" width="10" style="1" customWidth="1"/>
    <col min="9" max="9" width="12.28515625" style="1" customWidth="1"/>
    <col min="10" max="10" width="10" style="1" customWidth="1"/>
    <col min="11" max="11" width="11.85546875" style="1" customWidth="1"/>
    <col min="12" max="12" width="9.42578125" style="1" customWidth="1"/>
    <col min="13" max="13" width="11.85546875" style="1" customWidth="1"/>
    <col min="14" max="14" width="14.42578125" style="1" customWidth="1"/>
    <col min="15" max="15" width="13.7109375" style="1" customWidth="1"/>
    <col min="16" max="17" width="16.28515625" style="1" customWidth="1"/>
    <col min="18" max="20" width="8.7109375" style="1" bestFit="1" customWidth="1"/>
    <col min="21" max="24" width="9.140625" style="1"/>
    <col min="25" max="25" width="12.140625" style="1" customWidth="1"/>
    <col min="26" max="30" width="9.140625" style="1"/>
    <col min="31" max="31" width="11.28515625" style="1" customWidth="1"/>
    <col min="32" max="32" width="10.7109375" style="1" customWidth="1"/>
    <col min="33" max="16384" width="9.140625" style="1"/>
  </cols>
  <sheetData>
    <row r="1" spans="2:32" ht="21" x14ac:dyDescent="0.25">
      <c r="B1" s="100" t="s">
        <v>206</v>
      </c>
      <c r="C1" s="100"/>
      <c r="D1" s="100"/>
      <c r="E1" s="100"/>
      <c r="F1" s="100"/>
      <c r="G1" s="100"/>
      <c r="H1" s="100"/>
      <c r="I1" s="100"/>
      <c r="J1" s="100"/>
      <c r="K1" s="100"/>
      <c r="L1" s="100"/>
      <c r="M1" s="100"/>
      <c r="N1" s="100"/>
      <c r="O1" s="100"/>
      <c r="P1" s="100"/>
      <c r="Q1" s="86"/>
    </row>
    <row r="2" spans="2:32" ht="21" x14ac:dyDescent="0.25">
      <c r="B2" s="100"/>
      <c r="C2" s="100"/>
      <c r="D2" s="100"/>
      <c r="E2" s="100"/>
      <c r="F2" s="100"/>
      <c r="G2" s="100"/>
      <c r="H2" s="100"/>
      <c r="I2" s="100"/>
      <c r="J2" s="100"/>
      <c r="K2" s="100"/>
      <c r="L2" s="100"/>
      <c r="M2" s="100"/>
      <c r="N2" s="100"/>
      <c r="O2" s="100"/>
      <c r="P2" s="100"/>
      <c r="Q2" s="86"/>
    </row>
    <row r="3" spans="2:32" x14ac:dyDescent="0.25">
      <c r="B3" s="7"/>
      <c r="C3" s="7"/>
      <c r="D3" s="7"/>
      <c r="E3" s="7"/>
      <c r="F3" s="7"/>
      <c r="G3" s="7"/>
      <c r="H3" s="7"/>
      <c r="I3" s="7"/>
      <c r="J3" s="7"/>
      <c r="K3" s="7"/>
      <c r="L3" s="7"/>
      <c r="M3" s="7"/>
      <c r="N3" s="7"/>
      <c r="O3" s="7"/>
      <c r="P3" s="7"/>
      <c r="Q3" s="7"/>
    </row>
    <row r="4" spans="2:32" x14ac:dyDescent="0.25">
      <c r="B4" s="8" t="s">
        <v>0</v>
      </c>
      <c r="C4" s="8" t="s">
        <v>2</v>
      </c>
      <c r="D4" s="8" t="s">
        <v>3</v>
      </c>
      <c r="F4" s="9"/>
      <c r="G4" s="9"/>
      <c r="H4" s="9"/>
      <c r="I4" s="9"/>
      <c r="K4" s="18" t="s">
        <v>4</v>
      </c>
      <c r="L4" s="18" t="s">
        <v>5</v>
      </c>
      <c r="M4" s="10"/>
      <c r="N4" s="18" t="s">
        <v>50</v>
      </c>
      <c r="O4" s="10"/>
      <c r="P4" s="18" t="s">
        <v>51</v>
      </c>
      <c r="Q4" s="87"/>
    </row>
    <row r="5" spans="2:32" x14ac:dyDescent="0.25">
      <c r="B5" s="11" t="str">
        <f>DB!E2</f>
        <v>NIFTY</v>
      </c>
      <c r="C5" s="11" t="str">
        <f>DB!D2</f>
        <v>18-Aug-2022</v>
      </c>
      <c r="D5" s="11">
        <v>50</v>
      </c>
      <c r="F5" s="9"/>
      <c r="G5" s="9"/>
      <c r="I5" s="12" t="s">
        <v>16</v>
      </c>
      <c r="K5" s="27">
        <f>O22/C22</f>
        <v>0.73864490355584267</v>
      </c>
      <c r="L5" s="27">
        <f>M22/E22</f>
        <v>0.79623647660900443</v>
      </c>
      <c r="M5" s="10"/>
      <c r="N5" s="16" t="str">
        <f>IF(D22&gt;=N22,"BEARISH","BULLISH")</f>
        <v>BEARISH</v>
      </c>
      <c r="O5" s="10"/>
      <c r="P5" s="16" t="str">
        <f>IF(C22&gt;=O22,"BEARISH","BULLISH")</f>
        <v>BEARISH</v>
      </c>
      <c r="Q5" s="87"/>
      <c r="W5" s="71"/>
      <c r="X5" s="72"/>
      <c r="Y5" s="72"/>
      <c r="Z5" s="72"/>
      <c r="AA5" s="72"/>
      <c r="AB5" s="72"/>
      <c r="AC5" s="73"/>
      <c r="AD5" s="73"/>
      <c r="AE5" s="73"/>
      <c r="AF5" s="73"/>
    </row>
    <row r="6" spans="2:32" x14ac:dyDescent="0.25">
      <c r="B6" s="9"/>
      <c r="C6" s="9"/>
      <c r="D6" s="9"/>
      <c r="E6" s="9"/>
      <c r="F6" s="9"/>
      <c r="G6" s="9"/>
      <c r="H6" s="9"/>
      <c r="I6" s="101">
        <f>DB!B2</f>
        <v>17698.150000000001</v>
      </c>
      <c r="J6" s="9"/>
      <c r="K6" s="9"/>
      <c r="L6" s="9"/>
      <c r="M6" s="9"/>
      <c r="N6" s="9"/>
      <c r="O6" s="9"/>
      <c r="P6" s="9"/>
      <c r="Q6" s="9"/>
      <c r="W6" s="74" t="s">
        <v>207</v>
      </c>
      <c r="X6" s="75"/>
      <c r="Y6" s="75"/>
      <c r="Z6" s="75"/>
      <c r="AA6" s="75"/>
      <c r="AB6" s="75"/>
      <c r="AC6" s="76"/>
      <c r="AD6" s="76"/>
      <c r="AE6" s="76"/>
      <c r="AF6" s="76"/>
    </row>
    <row r="7" spans="2:32" x14ac:dyDescent="0.25">
      <c r="B7" s="95" t="s">
        <v>6</v>
      </c>
      <c r="C7" s="96"/>
      <c r="D7" s="96"/>
      <c r="E7" s="96"/>
      <c r="F7" s="96"/>
      <c r="G7" s="96"/>
      <c r="H7" s="97"/>
      <c r="I7" s="101"/>
      <c r="J7" s="98" t="s">
        <v>15</v>
      </c>
      <c r="K7" s="99"/>
      <c r="L7" s="99"/>
      <c r="M7" s="99"/>
      <c r="N7" s="99"/>
      <c r="O7" s="99"/>
      <c r="P7" s="99"/>
      <c r="Q7" s="63"/>
      <c r="R7" s="63"/>
      <c r="S7" s="63"/>
      <c r="T7" s="63"/>
      <c r="U7" s="63"/>
      <c r="W7" s="77" t="s">
        <v>55</v>
      </c>
      <c r="X7" s="78" t="s">
        <v>54</v>
      </c>
      <c r="Y7" s="78" t="s">
        <v>56</v>
      </c>
      <c r="Z7" s="78" t="s">
        <v>57</v>
      </c>
      <c r="AA7" s="75" t="s">
        <v>223</v>
      </c>
      <c r="AB7" s="78" t="s">
        <v>224</v>
      </c>
      <c r="AC7" s="79" t="s">
        <v>53</v>
      </c>
      <c r="AD7" s="79" t="s">
        <v>229</v>
      </c>
      <c r="AE7" s="79" t="s">
        <v>230</v>
      </c>
      <c r="AF7" s="79" t="s">
        <v>235</v>
      </c>
    </row>
    <row r="8" spans="2:32" ht="25.5" x14ac:dyDescent="0.25">
      <c r="B8" s="13" t="s">
        <v>7</v>
      </c>
      <c r="C8" s="13" t="s">
        <v>8</v>
      </c>
      <c r="D8" s="13" t="s">
        <v>9</v>
      </c>
      <c r="E8" s="13" t="s">
        <v>11</v>
      </c>
      <c r="F8" s="13" t="s">
        <v>10</v>
      </c>
      <c r="G8" s="13" t="s">
        <v>12</v>
      </c>
      <c r="H8" s="13" t="s">
        <v>13</v>
      </c>
      <c r="I8" s="13" t="s">
        <v>14</v>
      </c>
      <c r="J8" s="13" t="s">
        <v>13</v>
      </c>
      <c r="K8" s="13" t="s">
        <v>12</v>
      </c>
      <c r="L8" s="13" t="s">
        <v>10</v>
      </c>
      <c r="M8" s="13" t="s">
        <v>11</v>
      </c>
      <c r="N8" s="13" t="s">
        <v>9</v>
      </c>
      <c r="O8" s="13" t="s">
        <v>8</v>
      </c>
      <c r="P8" s="63" t="s">
        <v>7</v>
      </c>
      <c r="Q8" s="66" t="s">
        <v>234</v>
      </c>
      <c r="R8" s="66" t="s">
        <v>225</v>
      </c>
      <c r="S8" s="67" t="s">
        <v>226</v>
      </c>
      <c r="T8" s="67" t="s">
        <v>227</v>
      </c>
      <c r="U8" s="68" t="s">
        <v>228</v>
      </c>
      <c r="W8" s="80">
        <f ca="1">NOW()</f>
        <v>44788.574220949071</v>
      </c>
      <c r="X8" s="81">
        <f>DB!P6</f>
        <v>17698.150000000001</v>
      </c>
      <c r="Y8" s="81">
        <f>(D22)*D5</f>
        <v>9958900</v>
      </c>
      <c r="Z8" s="81">
        <f>(N22)*D5</f>
        <v>6745900</v>
      </c>
      <c r="AA8" s="82">
        <f>E22</f>
        <v>10286159</v>
      </c>
      <c r="AB8" s="81">
        <f>M22</f>
        <v>8190215</v>
      </c>
      <c r="AC8" s="83">
        <f>Z8-Y8</f>
        <v>-3213000</v>
      </c>
      <c r="AD8" s="83">
        <f>ROUND(AVERAGE(F13:F16),2)</f>
        <v>9.57</v>
      </c>
      <c r="AE8" s="83">
        <f>ROUND(AVERAGE(L13:L16),2)</f>
        <v>12.99</v>
      </c>
      <c r="AF8" s="90">
        <f>ROUND(AVERAGE(Q14:Q16),2)</f>
        <v>0.83</v>
      </c>
    </row>
    <row r="9" spans="2:32" x14ac:dyDescent="0.25">
      <c r="B9" s="14" t="str">
        <f>IF(AND(D9&gt;0,H9&gt;0),"Long Build Up",IF(AND(D9&lt;0,H9&lt;0),"Long Unwinding",IF(AND(D9&gt;0,H9&lt;0),"Short Build Up",IF(AND(D9&lt;0,H9&gt;0),"Short Covering","-"))))</f>
        <v>Short Covering</v>
      </c>
      <c r="C9" s="15">
        <f>VLOOKUP(I9,DB!B9:P3004,3,0)</f>
        <v>4900</v>
      </c>
      <c r="D9" s="15">
        <f>VLOOKUP($I9,DB!$B$5:$P$3000,4,0)</f>
        <v>-904</v>
      </c>
      <c r="E9" s="15">
        <f>VLOOKUP($I9,DB!$B$5:$P$3000,5,0)</f>
        <v>57161</v>
      </c>
      <c r="F9" s="15">
        <f>VLOOKUP($I9,DB!$B$5:$P$3000,6,0)</f>
        <v>0</v>
      </c>
      <c r="G9" s="15">
        <f>VLOOKUP($I9,DB!$B$5:$P$3000,7,0)</f>
        <v>320</v>
      </c>
      <c r="H9" s="15">
        <f>VLOOKUP($I9,DB!$B$5:$P$3000,8,0)</f>
        <v>5.9499999999999886</v>
      </c>
      <c r="I9" s="16">
        <f t="shared" ref="I9:I14" si="0">I10-$D$5</f>
        <v>17400</v>
      </c>
      <c r="J9" s="17">
        <f>VLOOKUP($I9,DB!$B$5:$P$3000,14,0)</f>
        <v>-22.5</v>
      </c>
      <c r="K9" s="17">
        <f>VLOOKUP($I9,DB!$B$5:$P$3000,13,0)</f>
        <v>21.1</v>
      </c>
      <c r="L9" s="17">
        <f>VLOOKUP($I9,DB!$B$5:$P$3000,12,0)</f>
        <v>13.36</v>
      </c>
      <c r="M9" s="17">
        <f>VLOOKUP($I9,DB!$B$5:$P$3000,11,0)</f>
        <v>701078</v>
      </c>
      <c r="N9" s="17">
        <f>VLOOKUP($I9,DB!$B$5:$P$3000,10,0)</f>
        <v>23648</v>
      </c>
      <c r="O9" s="17">
        <f>VLOOKUP($I9,DB!$B$5:$P$3000,9,0)</f>
        <v>62122</v>
      </c>
      <c r="P9" s="64" t="str">
        <f>IF(AND(N9&gt;0,J9&gt;0),"Long Build Up",IF(AND(N9&lt;0,J9&lt;0),"Long Unwinding",IF(AND(N9&gt;0,J9&lt;0),"Short Build Up",IF(AND(N9&lt;0,J9&gt;0),"Short Covering","-"))))</f>
        <v>Short Build Up</v>
      </c>
      <c r="Q9" s="89">
        <f>O9/C9</f>
        <v>12.677959183673469</v>
      </c>
      <c r="R9" s="70">
        <f>MAX(0,$I$6-I9)</f>
        <v>298.15000000000146</v>
      </c>
      <c r="S9" s="70">
        <f>G9-R9</f>
        <v>21.849999999998545</v>
      </c>
      <c r="T9" s="70">
        <f>MAX(0,I9-$I$6)</f>
        <v>0</v>
      </c>
      <c r="U9" s="70">
        <f>K9-T9</f>
        <v>21.1</v>
      </c>
      <c r="X9" s="24"/>
      <c r="Y9" s="24"/>
      <c r="Z9" s="24"/>
      <c r="AA9" s="24"/>
      <c r="AB9" s="24"/>
      <c r="AC9" s="24"/>
      <c r="AD9" s="24"/>
    </row>
    <row r="10" spans="2:32" x14ac:dyDescent="0.25">
      <c r="B10" s="14" t="str">
        <f t="shared" ref="B10:B21" si="1">IF(AND(D10&gt;0,H10&gt;0),"Long Build Up",IF(AND(D10&lt;0,H10&lt;0),"Long Unwinding",IF(AND(D10&gt;0,H10&lt;0),"Short Build Up",IF(AND(D10&lt;0,H10&gt;0),"Short Covering","-"))))</f>
        <v>Short Covering</v>
      </c>
      <c r="C10" s="15">
        <f>VLOOKUP(I10,DB!B10:P3005,3,0)</f>
        <v>922</v>
      </c>
      <c r="D10" s="15">
        <f>VLOOKUP($I10,DB!$B$5:$P$3000,4,0)</f>
        <v>-82</v>
      </c>
      <c r="E10" s="15">
        <f>VLOOKUP($I10,DB!$B$5:$P$3000,5,0)</f>
        <v>18729</v>
      </c>
      <c r="F10" s="15">
        <f>VLOOKUP($I10,DB!$B$5:$P$3000,6,0)</f>
        <v>0</v>
      </c>
      <c r="G10" s="15">
        <f>VLOOKUP($I10,DB!$B$5:$P$3000,7,0)</f>
        <v>275.55</v>
      </c>
      <c r="H10" s="15">
        <f>VLOOKUP($I10,DB!$B$5:$P$3000,8,0)</f>
        <v>2.3500000000000227</v>
      </c>
      <c r="I10" s="16">
        <f t="shared" si="0"/>
        <v>17450</v>
      </c>
      <c r="J10" s="17">
        <f>VLOOKUP($I10,DB!$B$5:$P$3000,14,0)</f>
        <v>-25.2</v>
      </c>
      <c r="K10" s="17">
        <f>VLOOKUP($I10,DB!$B$5:$P$3000,13,0)</f>
        <v>28.8</v>
      </c>
      <c r="L10" s="17">
        <f>VLOOKUP($I10,DB!$B$5:$P$3000,12,0)</f>
        <v>13.31</v>
      </c>
      <c r="M10" s="17">
        <f>VLOOKUP($I10,DB!$B$5:$P$3000,11,0)</f>
        <v>319512</v>
      </c>
      <c r="N10" s="17">
        <f>VLOOKUP($I10,DB!$B$5:$P$3000,10,0)</f>
        <v>8901</v>
      </c>
      <c r="O10" s="17">
        <f>VLOOKUP($I10,DB!$B$5:$P$3000,9,0)</f>
        <v>18334</v>
      </c>
      <c r="P10" s="64" t="str">
        <f t="shared" ref="P10:P21" si="2">IF(AND(N10&gt;0,J10&gt;0),"Long Build Up",IF(AND(N10&lt;0,J10&lt;0),"Long Unwinding",IF(AND(N10&gt;0,J10&lt;0),"Short Build Up",IF(AND(N10&lt;0,J10&gt;0),"Short Covering","-"))))</f>
        <v>Short Build Up</v>
      </c>
      <c r="Q10" s="89">
        <f t="shared" ref="Q10:Q21" si="3">O10/C10</f>
        <v>19.885032537960953</v>
      </c>
      <c r="R10" s="70">
        <f t="shared" ref="R10:R21" si="4">MAX(0,$I$6-I10)</f>
        <v>248.15000000000146</v>
      </c>
      <c r="S10" s="70">
        <f t="shared" ref="S10:S21" si="5">G10-R10</f>
        <v>27.399999999998556</v>
      </c>
      <c r="T10" s="70">
        <f t="shared" ref="T10:T21" si="6">MAX(0,I10-$I$6)</f>
        <v>0</v>
      </c>
      <c r="U10" s="70">
        <f t="shared" ref="U10:U21" si="7">K10-T10</f>
        <v>28.8</v>
      </c>
    </row>
    <row r="11" spans="2:32" x14ac:dyDescent="0.25">
      <c r="B11" s="14" t="str">
        <f t="shared" si="1"/>
        <v>Short Build Up</v>
      </c>
      <c r="C11" s="15">
        <f>VLOOKUP(I11,DB!B11:P3006,3,0)</f>
        <v>25720</v>
      </c>
      <c r="D11" s="15">
        <f>VLOOKUP($I11,DB!$B$5:$P$3000,4,0)</f>
        <v>5625</v>
      </c>
      <c r="E11" s="15">
        <f>VLOOKUP($I11,DB!$B$5:$P$3000,5,0)</f>
        <v>281843</v>
      </c>
      <c r="F11" s="15">
        <f>VLOOKUP($I11,DB!$B$5:$P$3000,6,0)</f>
        <v>7.91</v>
      </c>
      <c r="G11" s="15">
        <f>VLOOKUP($I11,DB!$B$5:$P$3000,7,0)</f>
        <v>235.5</v>
      </c>
      <c r="H11" s="15">
        <f>VLOOKUP($I11,DB!$B$5:$P$3000,8,0)</f>
        <v>-1.6999999999999886</v>
      </c>
      <c r="I11" s="16">
        <f t="shared" si="0"/>
        <v>17500</v>
      </c>
      <c r="J11" s="17">
        <f>VLOOKUP($I11,DB!$B$5:$P$3000,14,0)</f>
        <v>-29.549999999999997</v>
      </c>
      <c r="K11" s="17">
        <f>VLOOKUP($I11,DB!$B$5:$P$3000,13,0)</f>
        <v>36.950000000000003</v>
      </c>
      <c r="L11" s="17">
        <f>VLOOKUP($I11,DB!$B$5:$P$3000,12,0)</f>
        <v>13.01</v>
      </c>
      <c r="M11" s="17">
        <f>VLOOKUP($I11,DB!$B$5:$P$3000,11,0)</f>
        <v>1189307</v>
      </c>
      <c r="N11" s="17">
        <f>VLOOKUP($I11,DB!$B$5:$P$3000,10,0)</f>
        <v>23630</v>
      </c>
      <c r="O11" s="17">
        <f>VLOOKUP($I11,DB!$B$5:$P$3000,9,0)</f>
        <v>85104</v>
      </c>
      <c r="P11" s="64" t="str">
        <f t="shared" si="2"/>
        <v>Short Build Up</v>
      </c>
      <c r="Q11" s="89">
        <f t="shared" si="3"/>
        <v>3.3088646967340591</v>
      </c>
      <c r="R11" s="70">
        <f t="shared" si="4"/>
        <v>198.15000000000146</v>
      </c>
      <c r="S11" s="70">
        <f t="shared" si="5"/>
        <v>37.349999999998545</v>
      </c>
      <c r="T11" s="70">
        <f t="shared" si="6"/>
        <v>0</v>
      </c>
      <c r="U11" s="70">
        <f t="shared" si="7"/>
        <v>36.950000000000003</v>
      </c>
    </row>
    <row r="12" spans="2:32" x14ac:dyDescent="0.25">
      <c r="B12" s="14" t="str">
        <f t="shared" si="1"/>
        <v>Short Build Up</v>
      </c>
      <c r="C12" s="15">
        <f>VLOOKUP(I12,DB!B12:P3007,3,0)</f>
        <v>3487</v>
      </c>
      <c r="D12" s="15">
        <f>VLOOKUP($I12,DB!$B$5:$P$3000,4,0)</f>
        <v>150</v>
      </c>
      <c r="E12" s="15">
        <f>VLOOKUP($I12,DB!$B$5:$P$3000,5,0)</f>
        <v>143887</v>
      </c>
      <c r="F12" s="15">
        <f>VLOOKUP($I12,DB!$B$5:$P$3000,6,0)</f>
        <v>8.92</v>
      </c>
      <c r="G12" s="15">
        <f>VLOOKUP($I12,DB!$B$5:$P$3000,7,0)</f>
        <v>198</v>
      </c>
      <c r="H12" s="15">
        <f>VLOOKUP($I12,DB!$B$5:$P$3000,8,0)</f>
        <v>-3.3000000000000114</v>
      </c>
      <c r="I12" s="16">
        <f t="shared" si="0"/>
        <v>17550</v>
      </c>
      <c r="J12" s="17">
        <f>VLOOKUP($I12,DB!$B$5:$P$3000,14,0)</f>
        <v>-33.400000000000006</v>
      </c>
      <c r="K12" s="17">
        <f>VLOOKUP($I12,DB!$B$5:$P$3000,13,0)</f>
        <v>48</v>
      </c>
      <c r="L12" s="17">
        <f>VLOOKUP($I12,DB!$B$5:$P$3000,12,0)</f>
        <v>12.83</v>
      </c>
      <c r="M12" s="17">
        <f>VLOOKUP($I12,DB!$B$5:$P$3000,11,0)</f>
        <v>485913</v>
      </c>
      <c r="N12" s="17">
        <f>VLOOKUP($I12,DB!$B$5:$P$3000,10,0)</f>
        <v>5464</v>
      </c>
      <c r="O12" s="17">
        <f>VLOOKUP($I12,DB!$B$5:$P$3000,9,0)</f>
        <v>32454</v>
      </c>
      <c r="P12" s="64" t="str">
        <f t="shared" si="2"/>
        <v>Short Build Up</v>
      </c>
      <c r="Q12" s="89">
        <f t="shared" si="3"/>
        <v>9.3071408087180956</v>
      </c>
      <c r="R12" s="70">
        <f t="shared" si="4"/>
        <v>148.15000000000146</v>
      </c>
      <c r="S12" s="70">
        <f t="shared" si="5"/>
        <v>49.849999999998545</v>
      </c>
      <c r="T12" s="70">
        <f t="shared" si="6"/>
        <v>0</v>
      </c>
      <c r="U12" s="70">
        <f t="shared" si="7"/>
        <v>48</v>
      </c>
    </row>
    <row r="13" spans="2:32" x14ac:dyDescent="0.25">
      <c r="B13" s="14" t="str">
        <f t="shared" si="1"/>
        <v>Short Build Up</v>
      </c>
      <c r="C13" s="15">
        <f>VLOOKUP(I13,DB!B13:P3008,3,0)</f>
        <v>28641</v>
      </c>
      <c r="D13" s="15">
        <f>VLOOKUP($I13,DB!$B$5:$P$3000,4,0)</f>
        <v>4522</v>
      </c>
      <c r="E13" s="15">
        <f>VLOOKUP($I13,DB!$B$5:$P$3000,5,0)</f>
        <v>998145</v>
      </c>
      <c r="F13" s="15">
        <f>VLOOKUP($I13,DB!$B$5:$P$3000,6,0)</f>
        <v>9.1300000000000008</v>
      </c>
      <c r="G13" s="15">
        <f>VLOOKUP($I13,DB!$B$5:$P$3000,7,0)</f>
        <v>161</v>
      </c>
      <c r="H13" s="15">
        <f>VLOOKUP($I13,DB!$B$5:$P$3000,8,0)</f>
        <v>-10.199999999999989</v>
      </c>
      <c r="I13" s="16">
        <f t="shared" si="0"/>
        <v>17600</v>
      </c>
      <c r="J13" s="17">
        <f>VLOOKUP($I13,DB!$B$5:$P$3000,14,0)</f>
        <v>-34.549999999999997</v>
      </c>
      <c r="K13" s="17">
        <f>VLOOKUP($I13,DB!$B$5:$P$3000,13,0)</f>
        <v>65.45</v>
      </c>
      <c r="L13" s="17">
        <f>VLOOKUP($I13,DB!$B$5:$P$3000,12,0)</f>
        <v>13.11</v>
      </c>
      <c r="M13" s="17">
        <f>VLOOKUP($I13,DB!$B$5:$P$3000,11,0)</f>
        <v>1801049</v>
      </c>
      <c r="N13" s="17">
        <f>VLOOKUP($I13,DB!$B$5:$P$3000,10,0)</f>
        <v>37048</v>
      </c>
      <c r="O13" s="17">
        <f>VLOOKUP($I13,DB!$B$5:$P$3000,9,0)</f>
        <v>73029</v>
      </c>
      <c r="P13" s="64" t="str">
        <f t="shared" si="2"/>
        <v>Short Build Up</v>
      </c>
      <c r="Q13" s="89">
        <f t="shared" si="3"/>
        <v>2.5498062218497957</v>
      </c>
      <c r="R13" s="70">
        <f t="shared" si="4"/>
        <v>98.150000000001455</v>
      </c>
      <c r="S13" s="70">
        <f t="shared" si="5"/>
        <v>62.849999999998545</v>
      </c>
      <c r="T13" s="70">
        <f t="shared" si="6"/>
        <v>0</v>
      </c>
      <c r="U13" s="70">
        <f t="shared" si="7"/>
        <v>65.45</v>
      </c>
    </row>
    <row r="14" spans="2:32" x14ac:dyDescent="0.25">
      <c r="B14" s="14" t="str">
        <f t="shared" si="1"/>
        <v>Short Build Up</v>
      </c>
      <c r="C14" s="15">
        <f>VLOOKUP(I14,DB!B14:P3009,3,0)</f>
        <v>15794</v>
      </c>
      <c r="D14" s="15">
        <f>VLOOKUP($I14,DB!$B$5:$P$3000,4,0)</f>
        <v>1054</v>
      </c>
      <c r="E14" s="15">
        <f>VLOOKUP($I14,DB!$B$5:$P$3000,5,0)</f>
        <v>863830</v>
      </c>
      <c r="F14" s="15">
        <f>VLOOKUP($I14,DB!$B$5:$P$3000,6,0)</f>
        <v>9.68</v>
      </c>
      <c r="G14" s="15">
        <f>VLOOKUP($I14,DB!$B$5:$P$3000,7,0)</f>
        <v>131.4</v>
      </c>
      <c r="H14" s="15">
        <f>VLOOKUP($I14,DB!$B$5:$P$3000,8,0)</f>
        <v>-11.150000000000006</v>
      </c>
      <c r="I14" s="16">
        <f t="shared" si="0"/>
        <v>17650</v>
      </c>
      <c r="J14" s="17">
        <f>VLOOKUP($I14,DB!$B$5:$P$3000,14,0)</f>
        <v>-40.200000000000003</v>
      </c>
      <c r="K14" s="17">
        <f>VLOOKUP($I14,DB!$B$5:$P$3000,13,0)</f>
        <v>81.45</v>
      </c>
      <c r="L14" s="17">
        <f>VLOOKUP($I14,DB!$B$5:$P$3000,12,0)</f>
        <v>12.84</v>
      </c>
      <c r="M14" s="17">
        <f>VLOOKUP($I14,DB!$B$5:$P$3000,11,0)</f>
        <v>1045956</v>
      </c>
      <c r="N14" s="17">
        <f>VLOOKUP($I14,DB!$B$5:$P$3000,10,0)</f>
        <v>13469</v>
      </c>
      <c r="O14" s="17">
        <f>VLOOKUP($I14,DB!$B$5:$P$3000,9,0)</f>
        <v>26595</v>
      </c>
      <c r="P14" s="64" t="str">
        <f t="shared" si="2"/>
        <v>Short Build Up</v>
      </c>
      <c r="Q14" s="89">
        <f t="shared" si="3"/>
        <v>1.6838672913764721</v>
      </c>
      <c r="R14" s="70">
        <f t="shared" si="4"/>
        <v>48.150000000001455</v>
      </c>
      <c r="S14" s="70">
        <f t="shared" si="5"/>
        <v>83.24999999999855</v>
      </c>
      <c r="T14" s="70">
        <f t="shared" si="6"/>
        <v>0</v>
      </c>
      <c r="U14" s="70">
        <f t="shared" si="7"/>
        <v>81.45</v>
      </c>
    </row>
    <row r="15" spans="2:32" x14ac:dyDescent="0.25">
      <c r="B15" s="14" t="str">
        <f t="shared" si="1"/>
        <v>Short Build Up</v>
      </c>
      <c r="C15" s="15">
        <f>VLOOKUP(I15,DB!B15:P3010,3,0)</f>
        <v>95722</v>
      </c>
      <c r="D15" s="15">
        <f>VLOOKUP($I15,DB!$B$5:$P$3000,4,0)</f>
        <v>21777</v>
      </c>
      <c r="E15" s="15">
        <f>VLOOKUP($I15,DB!$B$5:$P$3000,5,0)</f>
        <v>2577111</v>
      </c>
      <c r="F15" s="15">
        <f>VLOOKUP($I15,DB!$B$5:$P$3000,6,0)</f>
        <v>9.6</v>
      </c>
      <c r="G15" s="15">
        <f>VLOOKUP($I15,DB!$B$5:$P$3000,7,0)</f>
        <v>101.1</v>
      </c>
      <c r="H15" s="15">
        <f>VLOOKUP($I15,DB!$B$5:$P$3000,8,0)</f>
        <v>-15.800000000000011</v>
      </c>
      <c r="I15" s="18">
        <f>ROUND(I6/D5,0)*D5</f>
        <v>17700</v>
      </c>
      <c r="J15" s="15">
        <f>VLOOKUP($I15,DB!$B$5:$P$3000,14,0)</f>
        <v>-42.25</v>
      </c>
      <c r="K15" s="15">
        <f>VLOOKUP($I15,DB!$B$5:$P$3000,13,0)</f>
        <v>104</v>
      </c>
      <c r="L15" s="15">
        <f>VLOOKUP($I15,DB!$B$5:$P$3000,12,0)</f>
        <v>12.95</v>
      </c>
      <c r="M15" s="15">
        <f>VLOOKUP($I15,DB!$B$5:$P$3000,11,0)</f>
        <v>1756580</v>
      </c>
      <c r="N15" s="15">
        <f>VLOOKUP($I15,DB!$B$5:$P$3000,10,0)</f>
        <v>8097</v>
      </c>
      <c r="O15" s="15">
        <f>VLOOKUP($I15,DB!$B$5:$P$3000,9,0)</f>
        <v>59482</v>
      </c>
      <c r="P15" s="64" t="str">
        <f t="shared" si="2"/>
        <v>Short Build Up</v>
      </c>
      <c r="Q15" s="91">
        <f t="shared" si="3"/>
        <v>0.62140364806418591</v>
      </c>
      <c r="R15" s="70">
        <f t="shared" si="4"/>
        <v>0</v>
      </c>
      <c r="S15" s="70">
        <f t="shared" si="5"/>
        <v>101.1</v>
      </c>
      <c r="T15" s="70">
        <f t="shared" si="6"/>
        <v>1.8499999999985448</v>
      </c>
      <c r="U15" s="70">
        <f t="shared" si="7"/>
        <v>102.15000000000146</v>
      </c>
    </row>
    <row r="16" spans="2:32" x14ac:dyDescent="0.25">
      <c r="B16" s="14" t="str">
        <f t="shared" si="1"/>
        <v>Short Build Up</v>
      </c>
      <c r="C16" s="17">
        <f>VLOOKUP(I16,DB!B16:P3011,3,0)</f>
        <v>29814</v>
      </c>
      <c r="D16" s="17">
        <f>VLOOKUP($I16,DB!$B$5:$P$3000,4,0)</f>
        <v>16932</v>
      </c>
      <c r="E16" s="17">
        <f>VLOOKUP($I16,DB!$B$5:$P$3000,5,0)</f>
        <v>865123</v>
      </c>
      <c r="F16" s="17">
        <f>VLOOKUP($I16,DB!$B$5:$P$3000,6,0)</f>
        <v>9.8800000000000008</v>
      </c>
      <c r="G16" s="17">
        <f>VLOOKUP($I16,DB!$B$5:$P$3000,7,0)</f>
        <v>78.599999999999994</v>
      </c>
      <c r="H16" s="17">
        <f>VLOOKUP($I16,DB!$B$5:$P$3000,8,0)</f>
        <v>-16.900000000000006</v>
      </c>
      <c r="I16" s="16">
        <f t="shared" ref="I16:I21" si="8">I15+$D$5</f>
        <v>17750</v>
      </c>
      <c r="J16" s="15">
        <f>VLOOKUP($I16,DB!$B$5:$P$3000,14,0)</f>
        <v>-43.349999999999994</v>
      </c>
      <c r="K16" s="15">
        <f>VLOOKUP($I16,DB!$B$5:$P$3000,13,0)</f>
        <v>130</v>
      </c>
      <c r="L16" s="15">
        <f>VLOOKUP($I16,DB!$B$5:$P$3000,12,0)</f>
        <v>13.06</v>
      </c>
      <c r="M16" s="15">
        <f>VLOOKUP($I16,DB!$B$5:$P$3000,11,0)</f>
        <v>302562</v>
      </c>
      <c r="N16" s="15">
        <f>VLOOKUP($I16,DB!$B$5:$P$3000,10,0)</f>
        <v>2444</v>
      </c>
      <c r="O16" s="15">
        <f>VLOOKUP($I16,DB!$B$5:$P$3000,9,0)</f>
        <v>5945</v>
      </c>
      <c r="P16" s="64" t="str">
        <f t="shared" si="2"/>
        <v>Short Build Up</v>
      </c>
      <c r="Q16" s="89">
        <f t="shared" si="3"/>
        <v>0.19940296504997651</v>
      </c>
      <c r="R16" s="70">
        <f t="shared" si="4"/>
        <v>0</v>
      </c>
      <c r="S16" s="70">
        <f t="shared" si="5"/>
        <v>78.599999999999994</v>
      </c>
      <c r="T16" s="70">
        <f t="shared" si="6"/>
        <v>51.849999999998545</v>
      </c>
      <c r="U16" s="70">
        <f t="shared" si="7"/>
        <v>78.150000000001455</v>
      </c>
    </row>
    <row r="17" spans="1:21" x14ac:dyDescent="0.25">
      <c r="B17" s="14" t="str">
        <f t="shared" si="1"/>
        <v>Short Build Up</v>
      </c>
      <c r="C17" s="17">
        <f>VLOOKUP(I17,DB!B17:P3012,3,0)</f>
        <v>117090</v>
      </c>
      <c r="D17" s="17">
        <f>VLOOKUP($I17,DB!$B$5:$P$3000,4,0)</f>
        <v>60156</v>
      </c>
      <c r="E17" s="17">
        <f>VLOOKUP($I17,DB!$B$5:$P$3000,5,0)</f>
        <v>1510104</v>
      </c>
      <c r="F17" s="17">
        <f>VLOOKUP($I17,DB!$B$5:$P$3000,6,0)</f>
        <v>9.92</v>
      </c>
      <c r="G17" s="17">
        <f>VLOOKUP($I17,DB!$B$5:$P$3000,7,0)</f>
        <v>58.3</v>
      </c>
      <c r="H17" s="17">
        <f>VLOOKUP($I17,DB!$B$5:$P$3000,8,0)</f>
        <v>-16.5</v>
      </c>
      <c r="I17" s="16">
        <f t="shared" si="8"/>
        <v>17800</v>
      </c>
      <c r="J17" s="15">
        <f>VLOOKUP($I17,DB!$B$5:$P$3000,14,0)</f>
        <v>-45.349999999999994</v>
      </c>
      <c r="K17" s="15">
        <f>VLOOKUP($I17,DB!$B$5:$P$3000,13,0)</f>
        <v>159</v>
      </c>
      <c r="L17" s="15">
        <f>VLOOKUP($I17,DB!$B$5:$P$3000,12,0)</f>
        <v>13.14</v>
      </c>
      <c r="M17" s="15">
        <f>VLOOKUP($I17,DB!$B$5:$P$3000,11,0)</f>
        <v>414265</v>
      </c>
      <c r="N17" s="15">
        <f>VLOOKUP($I17,DB!$B$5:$P$3000,10,0)</f>
        <v>7006</v>
      </c>
      <c r="O17" s="15">
        <f>VLOOKUP($I17,DB!$B$5:$P$3000,9,0)</f>
        <v>18079</v>
      </c>
      <c r="P17" s="64" t="str">
        <f t="shared" si="2"/>
        <v>Short Build Up</v>
      </c>
      <c r="Q17" s="89">
        <f t="shared" si="3"/>
        <v>0.15440259629344949</v>
      </c>
      <c r="R17" s="70">
        <f t="shared" si="4"/>
        <v>0</v>
      </c>
      <c r="S17" s="70">
        <f t="shared" si="5"/>
        <v>58.3</v>
      </c>
      <c r="T17" s="70">
        <f t="shared" si="6"/>
        <v>101.84999999999854</v>
      </c>
      <c r="U17" s="70">
        <f t="shared" si="7"/>
        <v>57.150000000001455</v>
      </c>
    </row>
    <row r="18" spans="1:21" x14ac:dyDescent="0.25">
      <c r="B18" s="14" t="str">
        <f t="shared" si="1"/>
        <v>Short Build Up</v>
      </c>
      <c r="C18" s="17">
        <f>VLOOKUP(I18,DB!B18:P3013,3,0)</f>
        <v>21593</v>
      </c>
      <c r="D18" s="17">
        <f>VLOOKUP($I18,DB!$B$5:$P$3000,4,0)</f>
        <v>10043</v>
      </c>
      <c r="E18" s="17">
        <f>VLOOKUP($I18,DB!$B$5:$P$3000,5,0)</f>
        <v>441419</v>
      </c>
      <c r="F18" s="17">
        <f>VLOOKUP($I18,DB!$B$5:$P$3000,6,0)</f>
        <v>10.199999999999999</v>
      </c>
      <c r="G18" s="17">
        <f>VLOOKUP($I18,DB!$B$5:$P$3000,7,0)</f>
        <v>44</v>
      </c>
      <c r="H18" s="17">
        <f>VLOOKUP($I18,DB!$B$5:$P$3000,8,0)</f>
        <v>-14.950000000000005</v>
      </c>
      <c r="I18" s="16">
        <f t="shared" si="8"/>
        <v>17850</v>
      </c>
      <c r="J18" s="15">
        <f>VLOOKUP($I18,DB!$B$5:$P$3000,14,0)</f>
        <v>-43</v>
      </c>
      <c r="K18" s="15">
        <f>VLOOKUP($I18,DB!$B$5:$P$3000,13,0)</f>
        <v>193.15</v>
      </c>
      <c r="L18" s="15">
        <f>VLOOKUP($I18,DB!$B$5:$P$3000,12,0)</f>
        <v>13.46</v>
      </c>
      <c r="M18" s="15">
        <f>VLOOKUP($I18,DB!$B$5:$P$3000,11,0)</f>
        <v>49209</v>
      </c>
      <c r="N18" s="15">
        <f>VLOOKUP($I18,DB!$B$5:$P$3000,10,0)</f>
        <v>174</v>
      </c>
      <c r="O18" s="15">
        <f>VLOOKUP($I18,DB!$B$5:$P$3000,9,0)</f>
        <v>1675</v>
      </c>
      <c r="P18" s="64" t="str">
        <f t="shared" si="2"/>
        <v>Short Build Up</v>
      </c>
      <c r="Q18" s="89">
        <f t="shared" si="3"/>
        <v>7.757143518732923E-2</v>
      </c>
      <c r="R18" s="70">
        <f t="shared" si="4"/>
        <v>0</v>
      </c>
      <c r="S18" s="70">
        <f t="shared" si="5"/>
        <v>44</v>
      </c>
      <c r="T18" s="70">
        <f t="shared" si="6"/>
        <v>151.84999999999854</v>
      </c>
      <c r="U18" s="70">
        <f t="shared" si="7"/>
        <v>41.300000000001461</v>
      </c>
    </row>
    <row r="19" spans="1:21" x14ac:dyDescent="0.25">
      <c r="B19" s="14" t="str">
        <f t="shared" si="1"/>
        <v>Short Build Up</v>
      </c>
      <c r="C19" s="17">
        <f>VLOOKUP(I19,DB!B19:P3014,3,0)</f>
        <v>59476</v>
      </c>
      <c r="D19" s="17">
        <f>VLOOKUP($I19,DB!$B$5:$P$3000,4,0)</f>
        <v>20484</v>
      </c>
      <c r="E19" s="17">
        <f>VLOOKUP($I19,DB!$B$5:$P$3000,5,0)</f>
        <v>1006203</v>
      </c>
      <c r="F19" s="17">
        <f>VLOOKUP($I19,DB!$B$5:$P$3000,6,0)</f>
        <v>10.06</v>
      </c>
      <c r="G19" s="17">
        <f>VLOOKUP($I19,DB!$B$5:$P$3000,7,0)</f>
        <v>30</v>
      </c>
      <c r="H19" s="17">
        <f>VLOOKUP($I19,DB!$B$5:$P$3000,8,0)</f>
        <v>-14.5</v>
      </c>
      <c r="I19" s="16">
        <f t="shared" si="8"/>
        <v>17900</v>
      </c>
      <c r="J19" s="15">
        <f>VLOOKUP($I19,DB!$B$5:$P$3000,14,0)</f>
        <v>-39.399999999999977</v>
      </c>
      <c r="K19" s="15">
        <f>VLOOKUP($I19,DB!$B$5:$P$3000,13,0)</f>
        <v>234.05</v>
      </c>
      <c r="L19" s="15">
        <f>VLOOKUP($I19,DB!$B$5:$P$3000,12,0)</f>
        <v>14.3</v>
      </c>
      <c r="M19" s="15">
        <f>VLOOKUP($I19,DB!$B$5:$P$3000,11,0)</f>
        <v>73503</v>
      </c>
      <c r="N19" s="15">
        <f>VLOOKUP($I19,DB!$B$5:$P$3000,10,0)</f>
        <v>2809</v>
      </c>
      <c r="O19" s="15">
        <f>VLOOKUP($I19,DB!$B$5:$P$3000,9,0)</f>
        <v>4735</v>
      </c>
      <c r="P19" s="64" t="str">
        <f t="shared" si="2"/>
        <v>Short Build Up</v>
      </c>
      <c r="Q19" s="89">
        <f t="shared" si="3"/>
        <v>7.9611944313672744E-2</v>
      </c>
      <c r="R19" s="70">
        <f t="shared" si="4"/>
        <v>0</v>
      </c>
      <c r="S19" s="70">
        <f t="shared" si="5"/>
        <v>30</v>
      </c>
      <c r="T19" s="70">
        <f t="shared" si="6"/>
        <v>201.84999999999854</v>
      </c>
      <c r="U19" s="70">
        <f t="shared" si="7"/>
        <v>32.200000000001467</v>
      </c>
    </row>
    <row r="20" spans="1:21" x14ac:dyDescent="0.25">
      <c r="B20" s="14" t="str">
        <f t="shared" si="1"/>
        <v>Short Build Up</v>
      </c>
      <c r="C20" s="17">
        <f>VLOOKUP(I20,DB!B20:P3015,3,0)</f>
        <v>27482</v>
      </c>
      <c r="D20" s="17">
        <f>VLOOKUP($I20,DB!$B$5:$P$3000,4,0)</f>
        <v>15825</v>
      </c>
      <c r="E20" s="17">
        <f>VLOOKUP($I20,DB!$B$5:$P$3000,5,0)</f>
        <v>413107</v>
      </c>
      <c r="F20" s="17">
        <f>VLOOKUP($I20,DB!$B$5:$P$3000,6,0)</f>
        <v>10.3</v>
      </c>
      <c r="G20" s="17">
        <f>VLOOKUP($I20,DB!$B$5:$P$3000,7,0)</f>
        <v>21.7</v>
      </c>
      <c r="H20" s="17">
        <f>VLOOKUP($I20,DB!$B$5:$P$3000,8,0)</f>
        <v>-12.400000000000002</v>
      </c>
      <c r="I20" s="16">
        <f t="shared" si="8"/>
        <v>17950</v>
      </c>
      <c r="J20" s="15">
        <f>VLOOKUP($I20,DB!$B$5:$P$3000,14,0)</f>
        <v>-43.149999999999977</v>
      </c>
      <c r="K20" s="15">
        <f>VLOOKUP($I20,DB!$B$5:$P$3000,13,0)</f>
        <v>271.85000000000002</v>
      </c>
      <c r="L20" s="15">
        <f>VLOOKUP($I20,DB!$B$5:$P$3000,12,0)</f>
        <v>14.48</v>
      </c>
      <c r="M20" s="15">
        <f>VLOOKUP($I20,DB!$B$5:$P$3000,11,0)</f>
        <v>7521</v>
      </c>
      <c r="N20" s="15">
        <f>VLOOKUP($I20,DB!$B$5:$P$3000,10,0)</f>
        <v>547</v>
      </c>
      <c r="O20" s="15">
        <f>VLOOKUP($I20,DB!$B$5:$P$3000,9,0)</f>
        <v>834</v>
      </c>
      <c r="P20" s="64" t="str">
        <f t="shared" si="2"/>
        <v>Short Build Up</v>
      </c>
      <c r="Q20" s="89">
        <f t="shared" si="3"/>
        <v>3.0347136307401209E-2</v>
      </c>
      <c r="R20" s="70">
        <f t="shared" si="4"/>
        <v>0</v>
      </c>
      <c r="S20" s="70">
        <f t="shared" si="5"/>
        <v>21.7</v>
      </c>
      <c r="T20" s="70">
        <f t="shared" si="6"/>
        <v>251.84999999999854</v>
      </c>
      <c r="U20" s="70">
        <f t="shared" si="7"/>
        <v>20.000000000001478</v>
      </c>
    </row>
    <row r="21" spans="1:21" x14ac:dyDescent="0.25">
      <c r="B21" s="14" t="str">
        <f t="shared" si="1"/>
        <v>Short Build Up</v>
      </c>
      <c r="C21" s="17">
        <f>VLOOKUP(I21,DB!B21:P3016,3,0)</f>
        <v>100288</v>
      </c>
      <c r="D21" s="17">
        <f>VLOOKUP($I21,DB!$B$5:$P$3000,4,0)</f>
        <v>43596</v>
      </c>
      <c r="E21" s="17">
        <f>VLOOKUP($I21,DB!$B$5:$P$3000,5,0)</f>
        <v>1109497</v>
      </c>
      <c r="F21" s="17">
        <f>VLOOKUP($I21,DB!$B$5:$P$3000,6,0)</f>
        <v>10.4</v>
      </c>
      <c r="G21" s="17">
        <f>VLOOKUP($I21,DB!$B$5:$P$3000,7,0)</f>
        <v>14.9</v>
      </c>
      <c r="H21" s="17">
        <f>VLOOKUP($I21,DB!$B$5:$P$3000,8,0)</f>
        <v>-10.050000000000001</v>
      </c>
      <c r="I21" s="16">
        <f t="shared" si="8"/>
        <v>18000</v>
      </c>
      <c r="J21" s="15">
        <f>VLOOKUP($I21,DB!$B$5:$P$3000,14,0)</f>
        <v>-39.75</v>
      </c>
      <c r="K21" s="15">
        <f>VLOOKUP($I21,DB!$B$5:$P$3000,13,0)</f>
        <v>315</v>
      </c>
      <c r="L21" s="15">
        <f>VLOOKUP($I21,DB!$B$5:$P$3000,12,0)</f>
        <v>15.16</v>
      </c>
      <c r="M21" s="15">
        <f>VLOOKUP($I21,DB!$B$5:$P$3000,11,0)</f>
        <v>43760</v>
      </c>
      <c r="N21" s="15">
        <f>VLOOKUP($I21,DB!$B$5:$P$3000,10,0)</f>
        <v>1681</v>
      </c>
      <c r="O21" s="15">
        <f>VLOOKUP($I21,DB!$B$5:$P$3000,9,0)</f>
        <v>3780</v>
      </c>
      <c r="P21" s="64" t="str">
        <f t="shared" si="2"/>
        <v>Short Build Up</v>
      </c>
      <c r="Q21" s="89">
        <f t="shared" si="3"/>
        <v>3.7691448627951499E-2</v>
      </c>
      <c r="R21" s="70">
        <f t="shared" si="4"/>
        <v>0</v>
      </c>
      <c r="S21" s="70">
        <f t="shared" si="5"/>
        <v>14.9</v>
      </c>
      <c r="T21" s="70">
        <f t="shared" si="6"/>
        <v>301.84999999999854</v>
      </c>
      <c r="U21" s="70">
        <f t="shared" si="7"/>
        <v>13.150000000001455</v>
      </c>
    </row>
    <row r="22" spans="1:21" x14ac:dyDescent="0.25">
      <c r="B22" s="19" t="s">
        <v>33</v>
      </c>
      <c r="C22" s="20">
        <f>SUM(C9:C21)</f>
        <v>530929</v>
      </c>
      <c r="D22" s="20">
        <f>SUM(D9:D21)</f>
        <v>199178</v>
      </c>
      <c r="E22" s="20">
        <f>SUM(E9:E21)</f>
        <v>10286159</v>
      </c>
      <c r="F22" s="20"/>
      <c r="G22" s="20"/>
      <c r="H22" s="20"/>
      <c r="I22" s="20"/>
      <c r="J22" s="20"/>
      <c r="K22" s="20"/>
      <c r="L22" s="20"/>
      <c r="M22" s="20">
        <f>SUM(M9:M21)</f>
        <v>8190215</v>
      </c>
      <c r="N22" s="20">
        <f>SUM(N9:N21)</f>
        <v>134918</v>
      </c>
      <c r="O22" s="20">
        <f>SUM(O9:O21)</f>
        <v>392168</v>
      </c>
      <c r="P22" s="65" t="s">
        <v>33</v>
      </c>
      <c r="Q22" s="88">
        <f>O22/C22</f>
        <v>0.73864490355584267</v>
      </c>
      <c r="R22" s="69"/>
      <c r="S22" s="69"/>
      <c r="T22" s="69"/>
      <c r="U22" s="69"/>
    </row>
    <row r="23" spans="1:21" x14ac:dyDescent="0.25">
      <c r="A23" s="30"/>
      <c r="I23" s="24"/>
      <c r="J23" s="24"/>
      <c r="K23" s="24"/>
      <c r="L23" s="24"/>
      <c r="M23" s="24"/>
      <c r="N23" s="24"/>
      <c r="O23" s="24"/>
      <c r="P23" s="24"/>
      <c r="Q23" s="24"/>
    </row>
    <row r="24" spans="1:21" x14ac:dyDescent="0.25">
      <c r="A24" s="30"/>
      <c r="I24" s="24"/>
      <c r="J24" s="24"/>
      <c r="K24" s="24"/>
      <c r="L24" s="24"/>
      <c r="M24" s="24"/>
      <c r="N24" s="24"/>
      <c r="O24" s="24"/>
      <c r="P24" s="24"/>
      <c r="Q24" s="24"/>
    </row>
    <row r="25" spans="1:21" x14ac:dyDescent="0.25">
      <c r="A25" s="30"/>
      <c r="I25" s="24"/>
      <c r="J25" s="24"/>
      <c r="K25" s="24"/>
      <c r="L25" s="24"/>
      <c r="M25" s="24"/>
      <c r="N25" s="24"/>
      <c r="O25" s="24"/>
      <c r="P25" s="24"/>
      <c r="Q25" s="24"/>
    </row>
    <row r="26" spans="1:21" x14ac:dyDescent="0.25">
      <c r="A26" s="30"/>
      <c r="B26" s="24"/>
      <c r="C26" s="24"/>
      <c r="D26" s="24"/>
      <c r="E26" s="24"/>
      <c r="F26" s="24"/>
      <c r="G26" s="24"/>
      <c r="H26" s="24"/>
      <c r="I26" s="24"/>
      <c r="J26" s="24"/>
      <c r="K26" s="24"/>
      <c r="L26" s="24"/>
      <c r="M26" s="24"/>
      <c r="N26" s="24"/>
      <c r="O26" s="24"/>
      <c r="P26" s="24"/>
      <c r="Q26" s="24"/>
    </row>
    <row r="27" spans="1:21" x14ac:dyDescent="0.25">
      <c r="A27" s="30"/>
      <c r="B27" s="24"/>
      <c r="C27" s="24"/>
      <c r="D27" s="24"/>
      <c r="E27" s="24"/>
      <c r="F27" s="24"/>
      <c r="G27" s="24"/>
      <c r="H27" s="24"/>
      <c r="I27" s="24"/>
      <c r="J27" s="24"/>
      <c r="K27" s="24"/>
      <c r="L27" s="24"/>
      <c r="M27" s="24"/>
      <c r="N27" s="24"/>
      <c r="O27" s="24"/>
      <c r="P27" s="24"/>
      <c r="Q27" s="24"/>
    </row>
    <row r="28" spans="1:21" x14ac:dyDescent="0.25">
      <c r="A28" s="30"/>
    </row>
    <row r="29" spans="1:21" x14ac:dyDescent="0.25">
      <c r="A29" s="30"/>
      <c r="B29" s="30"/>
      <c r="C29" s="30"/>
      <c r="D29" s="30"/>
      <c r="E29" s="30"/>
      <c r="F29" s="30"/>
      <c r="G29" s="30"/>
    </row>
    <row r="32" spans="1:21" x14ac:dyDescent="0.25">
      <c r="B32" s="4"/>
    </row>
    <row r="33" spans="2:2" x14ac:dyDescent="0.25">
      <c r="B33" s="4"/>
    </row>
    <row r="34" spans="2:2" x14ac:dyDescent="0.25">
      <c r="B34" s="4"/>
    </row>
    <row r="35" spans="2:2" x14ac:dyDescent="0.25">
      <c r="B35" s="4"/>
    </row>
    <row r="36" spans="2:2" x14ac:dyDescent="0.25">
      <c r="B36" s="4"/>
    </row>
    <row r="37" spans="2:2" x14ac:dyDescent="0.25">
      <c r="B37" s="4"/>
    </row>
    <row r="38" spans="2:2" x14ac:dyDescent="0.25">
      <c r="B38" s="4"/>
    </row>
    <row r="39" spans="2:2" x14ac:dyDescent="0.25">
      <c r="B39" s="4"/>
    </row>
    <row r="40" spans="2:2" x14ac:dyDescent="0.25">
      <c r="B40" s="4"/>
    </row>
    <row r="41" spans="2:2" x14ac:dyDescent="0.25">
      <c r="B41" s="4"/>
    </row>
    <row r="42" spans="2:2" x14ac:dyDescent="0.25">
      <c r="B42" s="4"/>
    </row>
    <row r="43" spans="2:2" x14ac:dyDescent="0.25">
      <c r="B43" s="4"/>
    </row>
    <row r="44" spans="2:2" x14ac:dyDescent="0.25">
      <c r="B44" s="4"/>
    </row>
    <row r="45" spans="2:2" x14ac:dyDescent="0.25">
      <c r="B45" s="4"/>
    </row>
    <row r="46" spans="2:2" x14ac:dyDescent="0.25">
      <c r="B46" s="4"/>
    </row>
    <row r="47" spans="2:2" x14ac:dyDescent="0.25">
      <c r="B47" s="4"/>
    </row>
    <row r="48" spans="2:2" x14ac:dyDescent="0.25">
      <c r="B48" s="4"/>
    </row>
    <row r="49" spans="2:2" x14ac:dyDescent="0.25">
      <c r="B49" s="4"/>
    </row>
    <row r="50" spans="2:2" x14ac:dyDescent="0.25">
      <c r="B50" s="4"/>
    </row>
    <row r="51" spans="2:2" x14ac:dyDescent="0.25">
      <c r="B51" s="4"/>
    </row>
    <row r="52" spans="2:2" x14ac:dyDescent="0.25">
      <c r="B52" s="4"/>
    </row>
    <row r="53" spans="2:2" x14ac:dyDescent="0.25">
      <c r="B53" s="4"/>
    </row>
    <row r="54" spans="2:2" x14ac:dyDescent="0.25">
      <c r="B54" s="4"/>
    </row>
    <row r="55" spans="2:2" x14ac:dyDescent="0.25">
      <c r="B55" s="4"/>
    </row>
    <row r="56" spans="2:2" x14ac:dyDescent="0.25">
      <c r="B56" s="4"/>
    </row>
  </sheetData>
  <mergeCells count="4">
    <mergeCell ref="B7:H7"/>
    <mergeCell ref="J7:P7"/>
    <mergeCell ref="B1:P2"/>
    <mergeCell ref="I6:I7"/>
  </mergeCells>
  <conditionalFormatting sqref="B9:B21">
    <cfRule type="cellIs" dxfId="68" priority="20" operator="equal">
      <formula>"Short Covering"</formula>
    </cfRule>
    <cfRule type="cellIs" dxfId="67" priority="21" operator="equal">
      <formula>"Long Unwinding"</formula>
    </cfRule>
    <cfRule type="cellIs" dxfId="66" priority="23" operator="equal">
      <formula>"Short Build Up"</formula>
    </cfRule>
    <cfRule type="cellIs" dxfId="65" priority="24" operator="equal">
      <formula>"Long Build Up"</formula>
    </cfRule>
  </conditionalFormatting>
  <conditionalFormatting sqref="N9:O21">
    <cfRule type="dataBar" priority="35">
      <dataBar>
        <cfvo type="min"/>
        <cfvo type="max"/>
        <color theme="9" tint="0.39997558519241921"/>
      </dataBar>
      <extLst>
        <ext xmlns:x14="http://schemas.microsoft.com/office/spreadsheetml/2009/9/main" uri="{B025F937-C7B1-47D3-B67F-A62EFF666E3E}">
          <x14:id>{C9B0371B-6A8D-4CBB-9D8B-9A7454F6FABE}</x14:id>
        </ext>
      </extLst>
    </cfRule>
  </conditionalFormatting>
  <conditionalFormatting sqref="C9:D21">
    <cfRule type="dataBar" priority="36">
      <dataBar>
        <cfvo type="min"/>
        <cfvo type="max"/>
        <color theme="5" tint="0.59999389629810485"/>
      </dataBar>
      <extLst>
        <ext xmlns:x14="http://schemas.microsoft.com/office/spreadsheetml/2009/9/main" uri="{B025F937-C7B1-47D3-B67F-A62EFF666E3E}">
          <x14:id>{2F990262-4F5D-4051-AB64-BA516C9F535E}</x14:id>
        </ext>
      </extLst>
    </cfRule>
  </conditionalFormatting>
  <conditionalFormatting sqref="E9:E21">
    <cfRule type="dataBar" priority="8">
      <dataBar>
        <cfvo type="min"/>
        <cfvo type="max"/>
        <color theme="7" tint="0.39997558519241921"/>
      </dataBar>
      <extLst>
        <ext xmlns:x14="http://schemas.microsoft.com/office/spreadsheetml/2009/9/main" uri="{B025F937-C7B1-47D3-B67F-A62EFF666E3E}">
          <x14:id>{C7179586-C2E9-47F8-9927-07CEF372E1AA}</x14:id>
        </ext>
      </extLst>
    </cfRule>
  </conditionalFormatting>
  <conditionalFormatting sqref="M9:M21">
    <cfRule type="dataBar" priority="7">
      <dataBar>
        <cfvo type="min"/>
        <cfvo type="max"/>
        <color rgb="FFFFB628"/>
      </dataBar>
      <extLst>
        <ext xmlns:x14="http://schemas.microsoft.com/office/spreadsheetml/2009/9/main" uri="{B025F937-C7B1-47D3-B67F-A62EFF666E3E}">
          <x14:id>{2AD55A5A-E0C5-4D97-82D3-51D97D3FA2A6}</x14:id>
        </ext>
      </extLst>
    </cfRule>
  </conditionalFormatting>
  <conditionalFormatting sqref="S9:S21">
    <cfRule type="colorScale" priority="6">
      <colorScale>
        <cfvo type="min"/>
        <cfvo type="percentile" val="50"/>
        <cfvo type="max"/>
        <color rgb="FF63BE7B"/>
        <color rgb="FFFCFCFF"/>
        <color rgb="FFF8696B"/>
      </colorScale>
    </cfRule>
  </conditionalFormatting>
  <conditionalFormatting sqref="U9:U21">
    <cfRule type="colorScale" priority="5">
      <colorScale>
        <cfvo type="min"/>
        <cfvo type="percentile" val="50"/>
        <cfvo type="max"/>
        <color rgb="FF63BE7B"/>
        <color rgb="FFFCFCFF"/>
        <color rgb="FFF8696B"/>
      </colorScale>
    </cfRule>
  </conditionalFormatting>
  <conditionalFormatting sqref="P9:P21">
    <cfRule type="cellIs" dxfId="64" priority="1" operator="equal">
      <formula>"Short Covering"</formula>
    </cfRule>
    <cfRule type="cellIs" dxfId="63" priority="2" operator="equal">
      <formula>"Long Unwinding"</formula>
    </cfRule>
    <cfRule type="cellIs" dxfId="62" priority="3" operator="equal">
      <formula>"Long Build Up"</formula>
    </cfRule>
    <cfRule type="cellIs" dxfId="61" priority="4" operator="equal">
      <formula>"Short Build Up"</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ManualRefresh">
                <anchor moveWithCells="1" sizeWithCells="1">
                  <from>
                    <xdr:col>17</xdr:col>
                    <xdr:colOff>142875</xdr:colOff>
                    <xdr:row>0</xdr:row>
                    <xdr:rowOff>38100</xdr:rowOff>
                  </from>
                  <to>
                    <xdr:col>18</xdr:col>
                    <xdr:colOff>590550</xdr:colOff>
                    <xdr:row>2</xdr:row>
                    <xdr:rowOff>57150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9B0371B-6A8D-4CBB-9D8B-9A7454F6FABE}">
            <x14:dataBar minLength="0" maxLength="100" border="1" direction="rightToLeft">
              <x14:cfvo type="autoMin"/>
              <x14:cfvo type="autoMax"/>
              <x14:borderColor theme="9" tint="-0.249977111117893"/>
              <x14:negativeFillColor rgb="FFFF0000"/>
              <x14:axisColor rgb="FF000000"/>
            </x14:dataBar>
          </x14:cfRule>
          <xm:sqref>N9:O21</xm:sqref>
        </x14:conditionalFormatting>
        <x14:conditionalFormatting xmlns:xm="http://schemas.microsoft.com/office/excel/2006/main">
          <x14:cfRule type="dataBar" id="{2F990262-4F5D-4051-AB64-BA516C9F535E}">
            <x14:dataBar minLength="0" maxLength="100" border="1">
              <x14:cfvo type="autoMin"/>
              <x14:cfvo type="autoMax"/>
              <x14:borderColor theme="5" tint="-0.249977111117893"/>
              <x14:negativeFillColor rgb="FFFF0000"/>
              <x14:axisColor rgb="FF000000"/>
            </x14:dataBar>
          </x14:cfRule>
          <xm:sqref>C9:D21</xm:sqref>
        </x14:conditionalFormatting>
        <x14:conditionalFormatting xmlns:xm="http://schemas.microsoft.com/office/excel/2006/main">
          <x14:cfRule type="dataBar" id="{C7179586-C2E9-47F8-9927-07CEF372E1AA}">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E9:E21</xm:sqref>
        </x14:conditionalFormatting>
        <x14:conditionalFormatting xmlns:xm="http://schemas.microsoft.com/office/excel/2006/main">
          <x14:cfRule type="dataBar" id="{2AD55A5A-E0C5-4D97-82D3-51D97D3FA2A6}">
            <x14:dataBar minLength="0" maxLength="100" border="1" direction="rightToLeft" negativeBarBorderColorSameAsPositive="0">
              <x14:cfvo type="autoMin"/>
              <x14:cfvo type="autoMax"/>
              <x14:borderColor rgb="FFFFB628"/>
              <x14:negativeFillColor rgb="FFFF0000"/>
              <x14:negativeBorderColor rgb="FFFF0000"/>
              <x14:axisColor rgb="FF000000"/>
            </x14:dataBar>
          </x14:cfRule>
          <xm:sqref>M9:M21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F56"/>
  <sheetViews>
    <sheetView zoomScaleNormal="100" workbookViewId="0">
      <selection activeCell="E15" sqref="E15"/>
    </sheetView>
  </sheetViews>
  <sheetFormatPr defaultRowHeight="15" x14ac:dyDescent="0.25"/>
  <cols>
    <col min="1" max="1" width="2.5703125" style="1" customWidth="1"/>
    <col min="2" max="2" width="16.28515625" style="1" customWidth="1"/>
    <col min="3" max="3" width="15.5703125" style="1" customWidth="1"/>
    <col min="4" max="4" width="15.85546875" style="1" customWidth="1"/>
    <col min="5" max="5" width="11.42578125" style="1" customWidth="1"/>
    <col min="6" max="6" width="10.7109375" style="1" customWidth="1"/>
    <col min="7" max="8" width="10" style="1" customWidth="1"/>
    <col min="9" max="9" width="12.28515625" style="1" customWidth="1"/>
    <col min="10" max="10" width="10" style="1" customWidth="1"/>
    <col min="11" max="11" width="11.85546875" style="1" customWidth="1"/>
    <col min="12" max="12" width="9.42578125" style="1" customWidth="1"/>
    <col min="13" max="13" width="11.85546875" style="1" customWidth="1"/>
    <col min="14" max="14" width="14.42578125" style="1" customWidth="1"/>
    <col min="15" max="15" width="13.7109375" style="1" customWidth="1"/>
    <col min="16" max="16" width="16.28515625" style="1" customWidth="1"/>
    <col min="17" max="17" width="12.42578125" style="1" customWidth="1"/>
    <col min="18" max="24" width="9.140625" style="1"/>
    <col min="25" max="25" width="12.140625" style="1" customWidth="1"/>
    <col min="26" max="30" width="9.140625" style="1"/>
    <col min="31" max="31" width="12.28515625" style="1" customWidth="1"/>
    <col min="32" max="32" width="9.140625" style="1"/>
    <col min="33" max="33" width="16.140625" style="1" bestFit="1" customWidth="1"/>
    <col min="34" max="16384" width="9.140625" style="1"/>
  </cols>
  <sheetData>
    <row r="1" spans="2:32" ht="21" x14ac:dyDescent="0.25">
      <c r="B1" s="100" t="s">
        <v>208</v>
      </c>
      <c r="C1" s="100"/>
      <c r="D1" s="100"/>
      <c r="E1" s="100"/>
      <c r="F1" s="100"/>
      <c r="G1" s="100"/>
      <c r="H1" s="100"/>
      <c r="I1" s="100"/>
      <c r="J1" s="100"/>
      <c r="K1" s="100"/>
      <c r="L1" s="100"/>
      <c r="M1" s="100"/>
      <c r="N1" s="100"/>
      <c r="O1" s="100"/>
      <c r="P1" s="100"/>
      <c r="Q1" s="86"/>
    </row>
    <row r="2" spans="2:32" ht="21" x14ac:dyDescent="0.25">
      <c r="B2" s="100"/>
      <c r="C2" s="100"/>
      <c r="D2" s="100"/>
      <c r="E2" s="100"/>
      <c r="F2" s="100"/>
      <c r="G2" s="100"/>
      <c r="H2" s="100"/>
      <c r="I2" s="100"/>
      <c r="J2" s="100"/>
      <c r="K2" s="100"/>
      <c r="L2" s="100"/>
      <c r="M2" s="100"/>
      <c r="N2" s="100"/>
      <c r="O2" s="100"/>
      <c r="P2" s="100"/>
      <c r="Q2" s="86"/>
    </row>
    <row r="3" spans="2:32" x14ac:dyDescent="0.25">
      <c r="B3" s="7"/>
      <c r="C3" s="7"/>
      <c r="D3" s="7"/>
      <c r="E3" s="7"/>
      <c r="F3" s="7"/>
      <c r="G3" s="7"/>
      <c r="H3" s="7"/>
      <c r="I3" s="7"/>
      <c r="J3" s="7"/>
      <c r="K3" s="7"/>
      <c r="L3" s="7"/>
      <c r="M3" s="7"/>
      <c r="N3" s="7"/>
      <c r="O3" s="7"/>
      <c r="P3" s="7"/>
      <c r="Q3" s="7"/>
    </row>
    <row r="4" spans="2:32" x14ac:dyDescent="0.25">
      <c r="B4" s="8" t="s">
        <v>0</v>
      </c>
      <c r="C4" s="8" t="s">
        <v>2</v>
      </c>
      <c r="D4" s="8" t="s">
        <v>3</v>
      </c>
      <c r="F4" s="9"/>
      <c r="G4" s="9"/>
      <c r="H4" s="9"/>
      <c r="I4" s="9"/>
      <c r="K4" s="18" t="s">
        <v>4</v>
      </c>
      <c r="L4" s="18" t="s">
        <v>5</v>
      </c>
      <c r="M4" s="10"/>
      <c r="N4" s="18" t="s">
        <v>50</v>
      </c>
      <c r="O4" s="10"/>
      <c r="P4" s="18" t="s">
        <v>51</v>
      </c>
      <c r="Q4" s="87"/>
    </row>
    <row r="5" spans="2:32" x14ac:dyDescent="0.25">
      <c r="B5" s="11" t="str">
        <f>'DB2'!E2</f>
        <v>BANKNIFTY</v>
      </c>
      <c r="C5" s="11" t="str">
        <f>'DB2'!D2</f>
        <v>18-Aug-2022</v>
      </c>
      <c r="D5" s="11">
        <f>'DB2'!C2</f>
        <v>500</v>
      </c>
      <c r="F5" s="9"/>
      <c r="G5" s="9"/>
      <c r="I5" s="12" t="s">
        <v>16</v>
      </c>
      <c r="K5" s="27">
        <f>O22/C22</f>
        <v>0.95825490583500583</v>
      </c>
      <c r="L5" s="27">
        <f>M22/E22</f>
        <v>0.89032028506993321</v>
      </c>
      <c r="M5" s="10"/>
      <c r="N5" s="16" t="str">
        <f>IF(D22&gt;=N22,"BEARISH","BULLISH")</f>
        <v>BULLISH</v>
      </c>
      <c r="O5" s="10"/>
      <c r="P5" s="16" t="str">
        <f>IF(C22&gt;=O22,"BEARISH","BULLISH")</f>
        <v>BEARISH</v>
      </c>
      <c r="Q5" s="87"/>
      <c r="W5" s="71"/>
      <c r="X5" s="72"/>
      <c r="Y5" s="72"/>
      <c r="Z5" s="72"/>
      <c r="AA5" s="72"/>
      <c r="AB5" s="72"/>
      <c r="AC5" s="73"/>
      <c r="AD5" s="73"/>
      <c r="AE5" s="73"/>
      <c r="AF5" s="73"/>
    </row>
    <row r="6" spans="2:32" x14ac:dyDescent="0.25">
      <c r="B6" s="9"/>
      <c r="C6" s="9"/>
      <c r="D6" s="9"/>
      <c r="E6" s="9"/>
      <c r="F6" s="9"/>
      <c r="G6" s="9"/>
      <c r="H6" s="9"/>
      <c r="I6" s="101">
        <f>'DB2'!B2</f>
        <v>39042.300000000003</v>
      </c>
      <c r="J6" s="9"/>
      <c r="K6" s="9"/>
      <c r="L6" s="9"/>
      <c r="M6" s="9"/>
      <c r="N6" s="9"/>
      <c r="O6" s="9"/>
      <c r="P6" s="9"/>
      <c r="Q6" s="9"/>
      <c r="W6" s="74" t="s">
        <v>207</v>
      </c>
      <c r="X6" s="75"/>
      <c r="Y6" s="75"/>
      <c r="Z6" s="75"/>
      <c r="AA6" s="75"/>
      <c r="AB6" s="75"/>
      <c r="AC6" s="76"/>
      <c r="AD6" s="76"/>
      <c r="AE6" s="76"/>
      <c r="AF6" s="76"/>
    </row>
    <row r="7" spans="2:32" x14ac:dyDescent="0.25">
      <c r="B7" s="95" t="s">
        <v>6</v>
      </c>
      <c r="C7" s="96"/>
      <c r="D7" s="96"/>
      <c r="E7" s="96"/>
      <c r="F7" s="96"/>
      <c r="G7" s="96"/>
      <c r="H7" s="97"/>
      <c r="I7" s="101"/>
      <c r="J7" s="98" t="s">
        <v>15</v>
      </c>
      <c r="K7" s="99"/>
      <c r="L7" s="99"/>
      <c r="M7" s="99"/>
      <c r="N7" s="99"/>
      <c r="O7" s="99"/>
      <c r="P7" s="102"/>
      <c r="Q7" s="63"/>
      <c r="R7" s="63"/>
      <c r="S7" s="63"/>
      <c r="T7" s="63"/>
      <c r="U7" s="63"/>
      <c r="W7" s="77" t="s">
        <v>55</v>
      </c>
      <c r="X7" s="78" t="s">
        <v>54</v>
      </c>
      <c r="Y7" s="78" t="s">
        <v>56</v>
      </c>
      <c r="Z7" s="78" t="s">
        <v>57</v>
      </c>
      <c r="AA7" s="75" t="s">
        <v>223</v>
      </c>
      <c r="AB7" s="78" t="s">
        <v>224</v>
      </c>
      <c r="AC7" s="79" t="s">
        <v>53</v>
      </c>
      <c r="AD7" s="79" t="s">
        <v>229</v>
      </c>
      <c r="AE7" s="79" t="s">
        <v>230</v>
      </c>
      <c r="AF7" s="79" t="s">
        <v>235</v>
      </c>
    </row>
    <row r="8" spans="2:32" ht="25.5" x14ac:dyDescent="0.25">
      <c r="B8" s="13" t="s">
        <v>7</v>
      </c>
      <c r="C8" s="13" t="s">
        <v>8</v>
      </c>
      <c r="D8" s="13" t="s">
        <v>9</v>
      </c>
      <c r="E8" s="13" t="s">
        <v>11</v>
      </c>
      <c r="F8" s="13" t="s">
        <v>10</v>
      </c>
      <c r="G8" s="13" t="s">
        <v>12</v>
      </c>
      <c r="H8" s="13" t="s">
        <v>13</v>
      </c>
      <c r="I8" s="13" t="s">
        <v>14</v>
      </c>
      <c r="J8" s="13" t="s">
        <v>13</v>
      </c>
      <c r="K8" s="13" t="s">
        <v>12</v>
      </c>
      <c r="L8" s="13" t="s">
        <v>10</v>
      </c>
      <c r="M8" s="13" t="s">
        <v>11</v>
      </c>
      <c r="N8" s="13" t="s">
        <v>9</v>
      </c>
      <c r="O8" s="13" t="s">
        <v>8</v>
      </c>
      <c r="P8" s="13" t="s">
        <v>7</v>
      </c>
      <c r="Q8" s="66" t="s">
        <v>234</v>
      </c>
      <c r="R8" s="66" t="s">
        <v>225</v>
      </c>
      <c r="S8" s="67" t="s">
        <v>226</v>
      </c>
      <c r="T8" s="67" t="s">
        <v>227</v>
      </c>
      <c r="U8" s="68" t="s">
        <v>228</v>
      </c>
      <c r="W8" s="80">
        <f ca="1">NOW()</f>
        <v>44788.574220949071</v>
      </c>
      <c r="X8" s="81">
        <f>'DB2'!P6</f>
        <v>39042.300000000003</v>
      </c>
      <c r="Y8" s="81">
        <f>(D22)*D5</f>
        <v>64067000</v>
      </c>
      <c r="Z8" s="81">
        <f>(N22)*D5</f>
        <v>84590500</v>
      </c>
      <c r="AA8" s="82">
        <f>E22</f>
        <v>6115552</v>
      </c>
      <c r="AB8" s="81">
        <f>M22</f>
        <v>5444800</v>
      </c>
      <c r="AC8" s="83">
        <f>Z8-Y8</f>
        <v>20523500</v>
      </c>
      <c r="AD8" s="83">
        <f>ROUND(AVERAGE(F13:F16),2)</f>
        <v>9.89</v>
      </c>
      <c r="AE8" s="83">
        <f>ROUND(AVERAGE(L13:L16),2)</f>
        <v>16.03</v>
      </c>
      <c r="AF8" s="90">
        <f>ROUND(AVERAGE(Q14:Q16),2)</f>
        <v>1.88</v>
      </c>
    </row>
    <row r="9" spans="2:32" x14ac:dyDescent="0.25">
      <c r="B9" s="14" t="str">
        <f>IF(AND(D9&gt;0,H9&gt;0),"Long Build Up",IF(AND(D9&lt;0,H9&lt;0),"Long Unwinding",IF(AND(D9&gt;0,H9&lt;0),"Short Build Up",IF(AND(D9&lt;0,H9&gt;0),"Short Covering","-"))))</f>
        <v>Short Covering</v>
      </c>
      <c r="C9" s="15">
        <f>VLOOKUP(I9,'DB2'!B9:P2971,3,0)</f>
        <v>477</v>
      </c>
      <c r="D9" s="15">
        <f>VLOOKUP($I9,'DB2'!$B$5:$P$2967,4,0)</f>
        <v>-23</v>
      </c>
      <c r="E9" s="15">
        <f>VLOOKUP($I9,'DB2'!$B$5:$P$2967,5,0)</f>
        <v>59</v>
      </c>
      <c r="F9" s="15">
        <f>VLOOKUP($I9,'DB2'!$B$5:$P$2967,6,0)</f>
        <v>0</v>
      </c>
      <c r="G9" s="15">
        <f>VLOOKUP($I9,'DB2'!$B$5:$P$2967,7,0)</f>
        <v>3053.6</v>
      </c>
      <c r="H9" s="15">
        <f>VLOOKUP($I9,'DB2'!$B$5:$P$2967,8,0)</f>
        <v>159.04999999999973</v>
      </c>
      <c r="I9" s="16">
        <f t="shared" ref="I9:I14" si="0">I10-$D$5</f>
        <v>36000</v>
      </c>
      <c r="J9" s="17">
        <f>VLOOKUP($I9,'DB2'!$B$5:$P$2967,14,0)</f>
        <v>-1.6000000000000003</v>
      </c>
      <c r="K9" s="17">
        <f>VLOOKUP($I9,'DB2'!$B$5:$P$2967,13,0)</f>
        <v>6.7</v>
      </c>
      <c r="L9" s="17">
        <f>VLOOKUP($I9,'DB2'!$B$5:$P$2967,12,0)</f>
        <v>29.23</v>
      </c>
      <c r="M9" s="17">
        <f>VLOOKUP($I9,'DB2'!$B$5:$P$2967,11,0)</f>
        <v>253571</v>
      </c>
      <c r="N9" s="17">
        <f>VLOOKUP($I9,'DB2'!$B$5:$P$2967,10,0)</f>
        <v>17001</v>
      </c>
      <c r="O9" s="17">
        <f>VLOOKUP($I9,'DB2'!$B$5:$P$2967,9,0)</f>
        <v>35823</v>
      </c>
      <c r="P9" s="64" t="str">
        <f>IF(AND(N9&gt;0,J9&gt;0),"Long Build Up",IF(AND(N9&lt;0,J9&lt;0),"Long Unwinding",IF(AND(N9&gt;0,J9&lt;0),"Short Build Up",IF(AND(N9&lt;0,J9&gt;0),"Short Covering","-"))))</f>
        <v>Short Build Up</v>
      </c>
      <c r="Q9" s="89">
        <f>O9/C9</f>
        <v>75.100628930817606</v>
      </c>
      <c r="R9" s="70">
        <f t="shared" ref="R9:R21" si="1">MAX(0,$I$6-I9)</f>
        <v>3042.3000000000029</v>
      </c>
      <c r="S9" s="70">
        <f t="shared" ref="S9:S21" si="2">G9-R9</f>
        <v>11.299999999996999</v>
      </c>
      <c r="T9" s="70">
        <f t="shared" ref="T9:T21" si="3">MAX(0,I9-$I$6)</f>
        <v>0</v>
      </c>
      <c r="U9" s="70">
        <f t="shared" ref="U9:U21" si="4">K9-T9</f>
        <v>6.7</v>
      </c>
      <c r="AE9" s="24"/>
      <c r="AF9" s="24"/>
    </row>
    <row r="10" spans="2:32" x14ac:dyDescent="0.25">
      <c r="B10" s="14" t="str">
        <f t="shared" ref="B10:B21" si="5">IF(AND(D10&gt;0,H10&gt;0),"Long Build Up",IF(AND(D10&lt;0,H10&lt;0),"Long Unwinding",IF(AND(D10&gt;0,H10&lt;0),"Short Build Up",IF(AND(D10&lt;0,H10&gt;0),"Short Covering","-"))))</f>
        <v>Short Covering</v>
      </c>
      <c r="C10" s="15">
        <f>VLOOKUP(I10,'DB2'!B10:P2972,3,0)</f>
        <v>412</v>
      </c>
      <c r="D10" s="15">
        <f>VLOOKUP($I10,'DB2'!$B$5:$P$2967,4,0)</f>
        <v>-21</v>
      </c>
      <c r="E10" s="15">
        <f>VLOOKUP($I10,'DB2'!$B$5:$P$2967,5,0)</f>
        <v>66</v>
      </c>
      <c r="F10" s="15">
        <f>VLOOKUP($I10,'DB2'!$B$5:$P$2967,6,0)</f>
        <v>0</v>
      </c>
      <c r="G10" s="15">
        <f>VLOOKUP($I10,'DB2'!$B$5:$P$2967,7,0)</f>
        <v>2540</v>
      </c>
      <c r="H10" s="15">
        <f>VLOOKUP($I10,'DB2'!$B$5:$P$2967,8,0)</f>
        <v>142.19999999999982</v>
      </c>
      <c r="I10" s="16">
        <f t="shared" si="0"/>
        <v>36500</v>
      </c>
      <c r="J10" s="17">
        <f>VLOOKUP($I10,'DB2'!$B$5:$P$2967,14,0)</f>
        <v>-4.3000000000000007</v>
      </c>
      <c r="K10" s="17">
        <f>VLOOKUP($I10,'DB2'!$B$5:$P$2967,13,0)</f>
        <v>7.6</v>
      </c>
      <c r="L10" s="17">
        <f>VLOOKUP($I10,'DB2'!$B$5:$P$2967,12,0)</f>
        <v>25.42</v>
      </c>
      <c r="M10" s="17">
        <f>VLOOKUP($I10,'DB2'!$B$5:$P$2967,11,0)</f>
        <v>254339</v>
      </c>
      <c r="N10" s="17">
        <f>VLOOKUP($I10,'DB2'!$B$5:$P$2967,10,0)</f>
        <v>8741</v>
      </c>
      <c r="O10" s="17">
        <f>VLOOKUP($I10,'DB2'!$B$5:$P$2967,9,0)</f>
        <v>27202</v>
      </c>
      <c r="P10" s="64" t="str">
        <f t="shared" ref="P10:P21" si="6">IF(AND(N10&gt;0,J10&gt;0),"Long Build Up",IF(AND(N10&lt;0,J10&lt;0),"Long Unwinding",IF(AND(N10&gt;0,J10&lt;0),"Short Build Up",IF(AND(N10&lt;0,J10&gt;0),"Short Covering","-"))))</f>
        <v>Short Build Up</v>
      </c>
      <c r="Q10" s="89">
        <f t="shared" ref="Q10:Q21" si="7">O10/C10</f>
        <v>66.024271844660191</v>
      </c>
      <c r="R10" s="70">
        <f t="shared" si="1"/>
        <v>2542.3000000000029</v>
      </c>
      <c r="S10" s="70">
        <f t="shared" si="2"/>
        <v>-2.3000000000029104</v>
      </c>
      <c r="T10" s="70">
        <f t="shared" si="3"/>
        <v>0</v>
      </c>
      <c r="U10" s="70">
        <f t="shared" si="4"/>
        <v>7.6</v>
      </c>
    </row>
    <row r="11" spans="2:32" x14ac:dyDescent="0.25">
      <c r="B11" s="14" t="str">
        <f t="shared" si="5"/>
        <v>Long Build Up</v>
      </c>
      <c r="C11" s="15">
        <f>VLOOKUP(I11,'DB2'!B11:P2973,3,0)</f>
        <v>1133</v>
      </c>
      <c r="D11" s="15">
        <f>VLOOKUP($I11,'DB2'!$B$5:$P$2967,4,0)</f>
        <v>43</v>
      </c>
      <c r="E11" s="15">
        <f>VLOOKUP($I11,'DB2'!$B$5:$P$2967,5,0)</f>
        <v>839</v>
      </c>
      <c r="F11" s="15">
        <f>VLOOKUP($I11,'DB2'!$B$5:$P$2967,6,0)</f>
        <v>0</v>
      </c>
      <c r="G11" s="15">
        <f>VLOOKUP($I11,'DB2'!$B$5:$P$2967,7,0)</f>
        <v>2068.0500000000002</v>
      </c>
      <c r="H11" s="15">
        <f>VLOOKUP($I11,'DB2'!$B$5:$P$2967,8,0)</f>
        <v>159.85000000000014</v>
      </c>
      <c r="I11" s="16">
        <f t="shared" si="0"/>
        <v>37000</v>
      </c>
      <c r="J11" s="17">
        <f>VLOOKUP($I11,'DB2'!$B$5:$P$2967,14,0)</f>
        <v>-8.6999999999999993</v>
      </c>
      <c r="K11" s="17">
        <f>VLOOKUP($I11,'DB2'!$B$5:$P$2967,13,0)</f>
        <v>11.7</v>
      </c>
      <c r="L11" s="17">
        <f>VLOOKUP($I11,'DB2'!$B$5:$P$2967,12,0)</f>
        <v>22.56</v>
      </c>
      <c r="M11" s="17">
        <f>VLOOKUP($I11,'DB2'!$B$5:$P$2967,11,0)</f>
        <v>354320</v>
      </c>
      <c r="N11" s="17">
        <f>VLOOKUP($I11,'DB2'!$B$5:$P$2967,10,0)</f>
        <v>18010</v>
      </c>
      <c r="O11" s="17">
        <f>VLOOKUP($I11,'DB2'!$B$5:$P$2967,9,0)</f>
        <v>49203</v>
      </c>
      <c r="P11" s="64" t="str">
        <f t="shared" si="6"/>
        <v>Short Build Up</v>
      </c>
      <c r="Q11" s="89">
        <f t="shared" si="7"/>
        <v>43.427184466019419</v>
      </c>
      <c r="R11" s="70">
        <f t="shared" si="1"/>
        <v>2042.3000000000029</v>
      </c>
      <c r="S11" s="70">
        <f t="shared" si="2"/>
        <v>25.749999999997272</v>
      </c>
      <c r="T11" s="70">
        <f t="shared" si="3"/>
        <v>0</v>
      </c>
      <c r="U11" s="70">
        <f t="shared" si="4"/>
        <v>11.7</v>
      </c>
    </row>
    <row r="12" spans="2:32" x14ac:dyDescent="0.25">
      <c r="B12" s="14" t="str">
        <f t="shared" si="5"/>
        <v>Long Build Up</v>
      </c>
      <c r="C12" s="15">
        <f>VLOOKUP(I12,'DB2'!B12:P2974,3,0)</f>
        <v>2252</v>
      </c>
      <c r="D12" s="15">
        <f>VLOOKUP($I12,'DB2'!$B$5:$P$2967,4,0)</f>
        <v>62</v>
      </c>
      <c r="E12" s="15">
        <f>VLOOKUP($I12,'DB2'!$B$5:$P$2967,5,0)</f>
        <v>2661</v>
      </c>
      <c r="F12" s="15">
        <f>VLOOKUP($I12,'DB2'!$B$5:$P$2967,6,0)</f>
        <v>0</v>
      </c>
      <c r="G12" s="15">
        <f>VLOOKUP($I12,'DB2'!$B$5:$P$2967,7,0)</f>
        <v>1585.3</v>
      </c>
      <c r="H12" s="15">
        <f>VLOOKUP($I12,'DB2'!$B$5:$P$2967,8,0)</f>
        <v>153.79999999999995</v>
      </c>
      <c r="I12" s="16">
        <f t="shared" si="0"/>
        <v>37500</v>
      </c>
      <c r="J12" s="17">
        <f>VLOOKUP($I12,'DB2'!$B$5:$P$2967,14,0)</f>
        <v>-20.149999999999999</v>
      </c>
      <c r="K12" s="17">
        <f>VLOOKUP($I12,'DB2'!$B$5:$P$2967,13,0)</f>
        <v>20.9</v>
      </c>
      <c r="L12" s="17">
        <f>VLOOKUP($I12,'DB2'!$B$5:$P$2967,12,0)</f>
        <v>20</v>
      </c>
      <c r="M12" s="17">
        <f>VLOOKUP($I12,'DB2'!$B$5:$P$2967,11,0)</f>
        <v>397070</v>
      </c>
      <c r="N12" s="17">
        <f>VLOOKUP($I12,'DB2'!$B$5:$P$2967,10,0)</f>
        <v>23920</v>
      </c>
      <c r="O12" s="17">
        <f>VLOOKUP($I12,'DB2'!$B$5:$P$2967,9,0)</f>
        <v>52649</v>
      </c>
      <c r="P12" s="64" t="str">
        <f t="shared" si="6"/>
        <v>Short Build Up</v>
      </c>
      <c r="Q12" s="89">
        <f t="shared" si="7"/>
        <v>23.378774422735347</v>
      </c>
      <c r="R12" s="70">
        <f t="shared" si="1"/>
        <v>1542.3000000000029</v>
      </c>
      <c r="S12" s="70">
        <f t="shared" si="2"/>
        <v>42.999999999997044</v>
      </c>
      <c r="T12" s="70">
        <f t="shared" si="3"/>
        <v>0</v>
      </c>
      <c r="U12" s="70">
        <f t="shared" si="4"/>
        <v>20.9</v>
      </c>
    </row>
    <row r="13" spans="2:32" x14ac:dyDescent="0.25">
      <c r="B13" s="14" t="str">
        <f t="shared" si="5"/>
        <v>Long Build Up</v>
      </c>
      <c r="C13" s="15">
        <f>VLOOKUP(I13,'DB2'!B13:P2975,3,0)</f>
        <v>8660</v>
      </c>
      <c r="D13" s="15">
        <f>VLOOKUP($I13,'DB2'!$B$5:$P$2967,4,0)</f>
        <v>236</v>
      </c>
      <c r="E13" s="15">
        <f>VLOOKUP($I13,'DB2'!$B$5:$P$2967,5,0)</f>
        <v>32468</v>
      </c>
      <c r="F13" s="15">
        <f>VLOOKUP($I13,'DB2'!$B$5:$P$2967,6,0)</f>
        <v>0</v>
      </c>
      <c r="G13" s="15">
        <f>VLOOKUP($I13,'DB2'!$B$5:$P$2967,7,0)</f>
        <v>1102.05</v>
      </c>
      <c r="H13" s="15">
        <f>VLOOKUP($I13,'DB2'!$B$5:$P$2967,8,0)</f>
        <v>118.44999999999992</v>
      </c>
      <c r="I13" s="16">
        <f t="shared" si="0"/>
        <v>38000</v>
      </c>
      <c r="J13" s="17">
        <f>VLOOKUP($I13,'DB2'!$B$5:$P$2967,14,0)</f>
        <v>-46.999999999999993</v>
      </c>
      <c r="K13" s="17">
        <f>VLOOKUP($I13,'DB2'!$B$5:$P$2967,13,0)</f>
        <v>42.1</v>
      </c>
      <c r="L13" s="17">
        <f>VLOOKUP($I13,'DB2'!$B$5:$P$2967,12,0)</f>
        <v>17.62</v>
      </c>
      <c r="M13" s="17">
        <f>VLOOKUP($I13,'DB2'!$B$5:$P$2967,11,0)</f>
        <v>873928</v>
      </c>
      <c r="N13" s="17">
        <f>VLOOKUP($I13,'DB2'!$B$5:$P$2967,10,0)</f>
        <v>16545</v>
      </c>
      <c r="O13" s="17">
        <f>VLOOKUP($I13,'DB2'!$B$5:$P$2967,9,0)</f>
        <v>64634</v>
      </c>
      <c r="P13" s="64" t="str">
        <f t="shared" si="6"/>
        <v>Short Build Up</v>
      </c>
      <c r="Q13" s="89">
        <f t="shared" si="7"/>
        <v>7.4635103926096997</v>
      </c>
      <c r="R13" s="70">
        <f t="shared" si="1"/>
        <v>1042.3000000000029</v>
      </c>
      <c r="S13" s="70">
        <f t="shared" si="2"/>
        <v>59.749999999997044</v>
      </c>
      <c r="T13" s="70">
        <f t="shared" si="3"/>
        <v>0</v>
      </c>
      <c r="U13" s="70">
        <f t="shared" si="4"/>
        <v>42.1</v>
      </c>
    </row>
    <row r="14" spans="2:32" x14ac:dyDescent="0.25">
      <c r="B14" s="14" t="str">
        <f t="shared" si="5"/>
        <v>Long Build Up</v>
      </c>
      <c r="C14" s="15">
        <f>VLOOKUP(I14,'DB2'!B14:P2976,3,0)</f>
        <v>12139</v>
      </c>
      <c r="D14" s="15">
        <f>VLOOKUP($I14,'DB2'!$B$5:$P$2967,4,0)</f>
        <v>1151</v>
      </c>
      <c r="E14" s="15">
        <f>VLOOKUP($I14,'DB2'!$B$5:$P$2967,5,0)</f>
        <v>303554</v>
      </c>
      <c r="F14" s="15">
        <f>VLOOKUP($I14,'DB2'!$B$5:$P$2967,6,0)</f>
        <v>13.69</v>
      </c>
      <c r="G14" s="15">
        <f>VLOOKUP($I14,'DB2'!$B$5:$P$2967,7,0)</f>
        <v>675</v>
      </c>
      <c r="H14" s="15">
        <f>VLOOKUP($I14,'DB2'!$B$5:$P$2967,8,0)</f>
        <v>79.149999999999977</v>
      </c>
      <c r="I14" s="16">
        <f t="shared" si="0"/>
        <v>38500</v>
      </c>
      <c r="J14" s="17">
        <f>VLOOKUP($I14,'DB2'!$B$5:$P$2967,14,0)</f>
        <v>-90.5</v>
      </c>
      <c r="K14" s="17">
        <f>VLOOKUP($I14,'DB2'!$B$5:$P$2967,13,0)</f>
        <v>106.25</v>
      </c>
      <c r="L14" s="17">
        <f>VLOOKUP($I14,'DB2'!$B$5:$P$2967,12,0)</f>
        <v>16.28</v>
      </c>
      <c r="M14" s="17">
        <f>VLOOKUP($I14,'DB2'!$B$5:$P$2967,11,0)</f>
        <v>1174936</v>
      </c>
      <c r="N14" s="17">
        <f>VLOOKUP($I14,'DB2'!$B$5:$P$2967,10,0)</f>
        <v>24593</v>
      </c>
      <c r="O14" s="17">
        <f>VLOOKUP($I14,'DB2'!$B$5:$P$2967,9,0)</f>
        <v>55058</v>
      </c>
      <c r="P14" s="64" t="str">
        <f t="shared" si="6"/>
        <v>Short Build Up</v>
      </c>
      <c r="Q14" s="89">
        <f t="shared" si="7"/>
        <v>4.5356289644946042</v>
      </c>
      <c r="R14" s="70">
        <f t="shared" si="1"/>
        <v>542.30000000000291</v>
      </c>
      <c r="S14" s="70">
        <f t="shared" si="2"/>
        <v>132.69999999999709</v>
      </c>
      <c r="T14" s="70">
        <f t="shared" si="3"/>
        <v>0</v>
      </c>
      <c r="U14" s="70">
        <f t="shared" si="4"/>
        <v>106.25</v>
      </c>
    </row>
    <row r="15" spans="2:32" x14ac:dyDescent="0.25">
      <c r="B15" s="14" t="str">
        <f t="shared" si="5"/>
        <v>Long Build Up</v>
      </c>
      <c r="C15" s="15">
        <f>VLOOKUP(I15,'DB2'!B15:P2977,3,0)</f>
        <v>74064</v>
      </c>
      <c r="D15" s="15">
        <f>VLOOKUP($I15,'DB2'!$B$5:$P$2967,4,0)</f>
        <v>18547</v>
      </c>
      <c r="E15" s="15">
        <f>VLOOKUP($I15,'DB2'!$B$5:$P$2967,5,0)</f>
        <v>2751523</v>
      </c>
      <c r="F15" s="15">
        <f>VLOOKUP($I15,'DB2'!$B$5:$P$2967,6,0)</f>
        <v>13.21</v>
      </c>
      <c r="G15" s="15">
        <f>VLOOKUP($I15,'DB2'!$B$5:$P$2967,7,0)</f>
        <v>320</v>
      </c>
      <c r="H15" s="15">
        <f>VLOOKUP($I15,'DB2'!$B$5:$P$2967,8,0)</f>
        <v>17.300000000000011</v>
      </c>
      <c r="I15" s="18">
        <f>ROUND(I6/D5,0)*D5</f>
        <v>39000</v>
      </c>
      <c r="J15" s="15">
        <f>VLOOKUP($I15,'DB2'!$B$5:$P$2967,14,0)</f>
        <v>-152.89999999999998</v>
      </c>
      <c r="K15" s="15">
        <f>VLOOKUP($I15,'DB2'!$B$5:$P$2967,13,0)</f>
        <v>250</v>
      </c>
      <c r="L15" s="15">
        <f>VLOOKUP($I15,'DB2'!$B$5:$P$2967,12,0)</f>
        <v>15.05</v>
      </c>
      <c r="M15" s="15">
        <f>VLOOKUP($I15,'DB2'!$B$5:$P$2967,11,0)</f>
        <v>2016657</v>
      </c>
      <c r="N15" s="15">
        <f>VLOOKUP($I15,'DB2'!$B$5:$P$2967,10,0)</f>
        <v>58033</v>
      </c>
      <c r="O15" s="15">
        <f>VLOOKUP($I15,'DB2'!$B$5:$P$2967,9,0)</f>
        <v>77709</v>
      </c>
      <c r="P15" s="64" t="str">
        <f t="shared" si="6"/>
        <v>Short Build Up</v>
      </c>
      <c r="Q15" s="91">
        <f t="shared" si="7"/>
        <v>1.0492141931302656</v>
      </c>
      <c r="R15" s="70">
        <f t="shared" si="1"/>
        <v>42.30000000000291</v>
      </c>
      <c r="S15" s="70">
        <f t="shared" si="2"/>
        <v>277.69999999999709</v>
      </c>
      <c r="T15" s="70">
        <f t="shared" si="3"/>
        <v>0</v>
      </c>
      <c r="U15" s="70">
        <f t="shared" si="4"/>
        <v>250</v>
      </c>
    </row>
    <row r="16" spans="2:32" x14ac:dyDescent="0.25">
      <c r="B16" s="14" t="str">
        <f t="shared" si="5"/>
        <v>Short Build Up</v>
      </c>
      <c r="C16" s="17">
        <f>VLOOKUP(I16,'DB2'!B16:P2978,3,0)</f>
        <v>70508</v>
      </c>
      <c r="D16" s="17">
        <f>VLOOKUP($I16,'DB2'!$B$5:$P$2967,4,0)</f>
        <v>14067</v>
      </c>
      <c r="E16" s="17">
        <f>VLOOKUP($I16,'DB2'!$B$5:$P$2967,5,0)</f>
        <v>1207358</v>
      </c>
      <c r="F16" s="17">
        <f>VLOOKUP($I16,'DB2'!$B$5:$P$2967,6,0)</f>
        <v>12.65</v>
      </c>
      <c r="G16" s="17">
        <f>VLOOKUP($I16,'DB2'!$B$5:$P$2967,7,0)</f>
        <v>104.35</v>
      </c>
      <c r="H16" s="17">
        <f>VLOOKUP($I16,'DB2'!$B$5:$P$2967,8,0)</f>
        <v>-14.75</v>
      </c>
      <c r="I16" s="16">
        <f t="shared" ref="I16:I21" si="8">I15+$D$5</f>
        <v>39500</v>
      </c>
      <c r="J16" s="15">
        <f>VLOOKUP($I16,'DB2'!$B$5:$P$2967,14,0)</f>
        <v>-177.14999999999998</v>
      </c>
      <c r="K16" s="15">
        <f>VLOOKUP($I16,'DB2'!$B$5:$P$2967,13,0)</f>
        <v>540</v>
      </c>
      <c r="L16" s="15">
        <f>VLOOKUP($I16,'DB2'!$B$5:$P$2967,12,0)</f>
        <v>15.15</v>
      </c>
      <c r="M16" s="15">
        <f>VLOOKUP($I16,'DB2'!$B$5:$P$2967,11,0)</f>
        <v>104943</v>
      </c>
      <c r="N16" s="15">
        <f>VLOOKUP($I16,'DB2'!$B$5:$P$2967,10,0)</f>
        <v>1300</v>
      </c>
      <c r="O16" s="15">
        <f>VLOOKUP($I16,'DB2'!$B$5:$P$2967,9,0)</f>
        <v>4422</v>
      </c>
      <c r="P16" s="64" t="str">
        <f t="shared" si="6"/>
        <v>Short Build Up</v>
      </c>
      <c r="Q16" s="89">
        <f t="shared" si="7"/>
        <v>6.2716287513473648E-2</v>
      </c>
      <c r="R16" s="70">
        <f t="shared" si="1"/>
        <v>0</v>
      </c>
      <c r="S16" s="70">
        <f t="shared" si="2"/>
        <v>104.35</v>
      </c>
      <c r="T16" s="70">
        <f t="shared" si="3"/>
        <v>457.69999999999709</v>
      </c>
      <c r="U16" s="70">
        <f t="shared" si="4"/>
        <v>82.30000000000291</v>
      </c>
    </row>
    <row r="17" spans="1:21" x14ac:dyDescent="0.25">
      <c r="B17" s="14" t="str">
        <f t="shared" si="5"/>
        <v>Short Build Up</v>
      </c>
      <c r="C17" s="17">
        <f>VLOOKUP(I17,'DB2'!B17:P2979,3,0)</f>
        <v>75563</v>
      </c>
      <c r="D17" s="17">
        <f>VLOOKUP($I17,'DB2'!$B$5:$P$2967,4,0)</f>
        <v>34433</v>
      </c>
      <c r="E17" s="17">
        <f>VLOOKUP($I17,'DB2'!$B$5:$P$2967,5,0)</f>
        <v>832479</v>
      </c>
      <c r="F17" s="17">
        <f>VLOOKUP($I17,'DB2'!$B$5:$P$2967,6,0)</f>
        <v>12.87</v>
      </c>
      <c r="G17" s="17">
        <f>VLOOKUP($I17,'DB2'!$B$5:$P$2967,7,0)</f>
        <v>25.55</v>
      </c>
      <c r="H17" s="17">
        <f>VLOOKUP($I17,'DB2'!$B$5:$P$2967,8,0)</f>
        <v>-15.400000000000002</v>
      </c>
      <c r="I17" s="16">
        <f t="shared" si="8"/>
        <v>40000</v>
      </c>
      <c r="J17" s="15">
        <f>VLOOKUP($I17,'DB2'!$B$5:$P$2967,14,0)</f>
        <v>-177.10000000000002</v>
      </c>
      <c r="K17" s="15">
        <f>VLOOKUP($I17,'DB2'!$B$5:$P$2967,13,0)</f>
        <v>961.65</v>
      </c>
      <c r="L17" s="15">
        <f>VLOOKUP($I17,'DB2'!$B$5:$P$2967,12,0)</f>
        <v>17.23</v>
      </c>
      <c r="M17" s="15">
        <f>VLOOKUP($I17,'DB2'!$B$5:$P$2967,11,0)</f>
        <v>14636</v>
      </c>
      <c r="N17" s="15">
        <f>VLOOKUP($I17,'DB2'!$B$5:$P$2967,10,0)</f>
        <v>896</v>
      </c>
      <c r="O17" s="15">
        <f>VLOOKUP($I17,'DB2'!$B$5:$P$2967,9,0)</f>
        <v>1559</v>
      </c>
      <c r="P17" s="64" t="str">
        <f t="shared" si="6"/>
        <v>Short Build Up</v>
      </c>
      <c r="Q17" s="89">
        <f t="shared" si="7"/>
        <v>2.0631790691211307E-2</v>
      </c>
      <c r="R17" s="70">
        <f t="shared" si="1"/>
        <v>0</v>
      </c>
      <c r="S17" s="70">
        <f t="shared" si="2"/>
        <v>25.55</v>
      </c>
      <c r="T17" s="70">
        <f t="shared" si="3"/>
        <v>957.69999999999709</v>
      </c>
      <c r="U17" s="70">
        <f t="shared" si="4"/>
        <v>3.9500000000028876</v>
      </c>
    </row>
    <row r="18" spans="1:21" x14ac:dyDescent="0.25">
      <c r="B18" s="14" t="str">
        <f t="shared" si="5"/>
        <v>Short Build Up</v>
      </c>
      <c r="C18" s="17">
        <f>VLOOKUP(I18,'DB2'!B18:P2980,3,0)</f>
        <v>44054</v>
      </c>
      <c r="D18" s="17">
        <f>VLOOKUP($I18,'DB2'!$B$5:$P$2967,4,0)</f>
        <v>18312</v>
      </c>
      <c r="E18" s="17">
        <f>VLOOKUP($I18,'DB2'!$B$5:$P$2967,5,0)</f>
        <v>396767</v>
      </c>
      <c r="F18" s="17">
        <f>VLOOKUP($I18,'DB2'!$B$5:$P$2967,6,0)</f>
        <v>14.61</v>
      </c>
      <c r="G18" s="17">
        <f>VLOOKUP($I18,'DB2'!$B$5:$P$2967,7,0)</f>
        <v>8.9</v>
      </c>
      <c r="H18" s="17">
        <f>VLOOKUP($I18,'DB2'!$B$5:$P$2967,8,0)</f>
        <v>-6</v>
      </c>
      <c r="I18" s="16">
        <f t="shared" si="8"/>
        <v>40500</v>
      </c>
      <c r="J18" s="15">
        <f>VLOOKUP($I18,'DB2'!$B$5:$P$2967,14,0)</f>
        <v>-161</v>
      </c>
      <c r="K18" s="15">
        <f>VLOOKUP($I18,'DB2'!$B$5:$P$2967,13,0)</f>
        <v>1456</v>
      </c>
      <c r="L18" s="15">
        <f>VLOOKUP($I18,'DB2'!$B$5:$P$2967,12,0)</f>
        <v>22.74</v>
      </c>
      <c r="M18" s="15">
        <f>VLOOKUP($I18,'DB2'!$B$5:$P$2967,11,0)</f>
        <v>368</v>
      </c>
      <c r="N18" s="15">
        <f>VLOOKUP($I18,'DB2'!$B$5:$P$2967,10,0)</f>
        <v>123</v>
      </c>
      <c r="O18" s="15">
        <f>VLOOKUP($I18,'DB2'!$B$5:$P$2967,9,0)</f>
        <v>297</v>
      </c>
      <c r="P18" s="64" t="str">
        <f t="shared" si="6"/>
        <v>Short Build Up</v>
      </c>
      <c r="Q18" s="89">
        <f t="shared" si="7"/>
        <v>6.7417260634675628E-3</v>
      </c>
      <c r="R18" s="70">
        <f t="shared" si="1"/>
        <v>0</v>
      </c>
      <c r="S18" s="70">
        <f t="shared" si="2"/>
        <v>8.9</v>
      </c>
      <c r="T18" s="70">
        <f t="shared" si="3"/>
        <v>1457.6999999999971</v>
      </c>
      <c r="U18" s="70">
        <f t="shared" si="4"/>
        <v>-1.6999999999970896</v>
      </c>
    </row>
    <row r="19" spans="1:21" x14ac:dyDescent="0.25">
      <c r="B19" s="14" t="str">
        <f t="shared" si="5"/>
        <v>Short Build Up</v>
      </c>
      <c r="C19" s="17">
        <f>VLOOKUP(I19,'DB2'!B19:P2981,3,0)</f>
        <v>45969</v>
      </c>
      <c r="D19" s="17">
        <f>VLOOKUP($I19,'DB2'!$B$5:$P$2967,4,0)</f>
        <v>15962</v>
      </c>
      <c r="E19" s="17">
        <f>VLOOKUP($I19,'DB2'!$B$5:$P$2967,5,0)</f>
        <v>318314</v>
      </c>
      <c r="F19" s="17">
        <f>VLOOKUP($I19,'DB2'!$B$5:$P$2967,6,0)</f>
        <v>17.100000000000001</v>
      </c>
      <c r="G19" s="17">
        <f>VLOOKUP($I19,'DB2'!$B$5:$P$2967,7,0)</f>
        <v>4.8499999999999996</v>
      </c>
      <c r="H19" s="17">
        <f>VLOOKUP($I19,'DB2'!$B$5:$P$2967,8,0)</f>
        <v>-3.1500000000000004</v>
      </c>
      <c r="I19" s="16">
        <f t="shared" si="8"/>
        <v>41000</v>
      </c>
      <c r="J19" s="15">
        <f>VLOOKUP($I19,'DB2'!$B$5:$P$2967,14,0)</f>
        <v>-149.59999999999991</v>
      </c>
      <c r="K19" s="15">
        <f>VLOOKUP($I19,'DB2'!$B$5:$P$2967,13,0)</f>
        <v>1950</v>
      </c>
      <c r="L19" s="15">
        <f>VLOOKUP($I19,'DB2'!$B$5:$P$2967,12,0)</f>
        <v>27.6</v>
      </c>
      <c r="M19" s="15">
        <f>VLOOKUP($I19,'DB2'!$B$5:$P$2967,11,0)</f>
        <v>27</v>
      </c>
      <c r="N19" s="15">
        <f>VLOOKUP($I19,'DB2'!$B$5:$P$2967,10,0)</f>
        <v>15</v>
      </c>
      <c r="O19" s="15">
        <f>VLOOKUP($I19,'DB2'!$B$5:$P$2967,9,0)</f>
        <v>22</v>
      </c>
      <c r="P19" s="64" t="str">
        <f t="shared" si="6"/>
        <v>Short Build Up</v>
      </c>
      <c r="Q19" s="89">
        <f t="shared" si="7"/>
        <v>4.7858339315625748E-4</v>
      </c>
      <c r="R19" s="70">
        <f t="shared" si="1"/>
        <v>0</v>
      </c>
      <c r="S19" s="70">
        <f t="shared" si="2"/>
        <v>4.8499999999999996</v>
      </c>
      <c r="T19" s="70">
        <f t="shared" si="3"/>
        <v>1957.6999999999971</v>
      </c>
      <c r="U19" s="70">
        <f t="shared" si="4"/>
        <v>-7.6999999999970896</v>
      </c>
    </row>
    <row r="20" spans="1:21" x14ac:dyDescent="0.25">
      <c r="B20" s="14" t="str">
        <f t="shared" si="5"/>
        <v>Short Build Up</v>
      </c>
      <c r="C20" s="17">
        <f>VLOOKUP(I20,'DB2'!B20:P2982,3,0)</f>
        <v>30220</v>
      </c>
      <c r="D20" s="17">
        <f>VLOOKUP($I20,'DB2'!$B$5:$P$2967,4,0)</f>
        <v>17544</v>
      </c>
      <c r="E20" s="17">
        <f>VLOOKUP($I20,'DB2'!$B$5:$P$2967,5,0)</f>
        <v>158101</v>
      </c>
      <c r="F20" s="17">
        <f>VLOOKUP($I20,'DB2'!$B$5:$P$2967,6,0)</f>
        <v>19.670000000000002</v>
      </c>
      <c r="G20" s="17">
        <f>VLOOKUP($I20,'DB2'!$B$5:$P$2967,7,0)</f>
        <v>3.15</v>
      </c>
      <c r="H20" s="17">
        <f>VLOOKUP($I20,'DB2'!$B$5:$P$2967,8,0)</f>
        <v>-2.1</v>
      </c>
      <c r="I20" s="16">
        <f t="shared" si="8"/>
        <v>41500</v>
      </c>
      <c r="J20" s="15">
        <f>VLOOKUP($I20,'DB2'!$B$5:$P$2967,14,0)</f>
        <v>-1172.1500000000001</v>
      </c>
      <c r="K20" s="15">
        <f>VLOOKUP($I20,'DB2'!$B$5:$P$2967,13,0)</f>
        <v>2525</v>
      </c>
      <c r="L20" s="15">
        <f>VLOOKUP($I20,'DB2'!$B$5:$P$2967,12,0)</f>
        <v>40.89</v>
      </c>
      <c r="M20" s="15">
        <f>VLOOKUP($I20,'DB2'!$B$5:$P$2967,11,0)</f>
        <v>1</v>
      </c>
      <c r="N20" s="15">
        <f>VLOOKUP($I20,'DB2'!$B$5:$P$2967,10,0)</f>
        <v>1</v>
      </c>
      <c r="O20" s="15">
        <f>VLOOKUP($I20,'DB2'!$B$5:$P$2967,9,0)</f>
        <v>3</v>
      </c>
      <c r="P20" s="64" t="str">
        <f t="shared" si="6"/>
        <v>Short Build Up</v>
      </c>
      <c r="Q20" s="89">
        <f t="shared" si="7"/>
        <v>9.9272005294506947E-5</v>
      </c>
      <c r="R20" s="70">
        <f t="shared" si="1"/>
        <v>0</v>
      </c>
      <c r="S20" s="70">
        <f t="shared" si="2"/>
        <v>3.15</v>
      </c>
      <c r="T20" s="70">
        <f t="shared" si="3"/>
        <v>2457.6999999999971</v>
      </c>
      <c r="U20" s="70">
        <f t="shared" si="4"/>
        <v>67.30000000000291</v>
      </c>
    </row>
    <row r="21" spans="1:21" x14ac:dyDescent="0.25">
      <c r="B21" s="14" t="str">
        <f t="shared" si="5"/>
        <v>Short Build Up</v>
      </c>
      <c r="C21" s="17">
        <f>VLOOKUP(I21,'DB2'!B21:P2983,3,0)</f>
        <v>19193</v>
      </c>
      <c r="D21" s="17">
        <f>VLOOKUP($I21,'DB2'!$B$5:$P$2967,4,0)</f>
        <v>7821</v>
      </c>
      <c r="E21" s="17">
        <f>VLOOKUP($I21,'DB2'!$B$5:$P$2967,5,0)</f>
        <v>111363</v>
      </c>
      <c r="F21" s="17">
        <f>VLOOKUP($I21,'DB2'!$B$5:$P$2967,6,0)</f>
        <v>22.91</v>
      </c>
      <c r="G21" s="17">
        <f>VLOOKUP($I21,'DB2'!$B$5:$P$2967,7,0)</f>
        <v>2.95</v>
      </c>
      <c r="H21" s="17">
        <f>VLOOKUP($I21,'DB2'!$B$5:$P$2967,8,0)</f>
        <v>-0.89999999999999991</v>
      </c>
      <c r="I21" s="16">
        <f t="shared" si="8"/>
        <v>42000</v>
      </c>
      <c r="J21" s="15">
        <f>VLOOKUP($I21,'DB2'!$B$5:$P$2967,14,0)</f>
        <v>-188.19999999999985</v>
      </c>
      <c r="K21" s="15">
        <f>VLOOKUP($I21,'DB2'!$B$5:$P$2967,13,0)</f>
        <v>2970</v>
      </c>
      <c r="L21" s="15">
        <f>VLOOKUP($I21,'DB2'!$B$5:$P$2967,12,0)</f>
        <v>40.479999999999997</v>
      </c>
      <c r="M21" s="15">
        <f>VLOOKUP($I21,'DB2'!$B$5:$P$2967,11,0)</f>
        <v>4</v>
      </c>
      <c r="N21" s="15">
        <f>VLOOKUP($I21,'DB2'!$B$5:$P$2967,10,0)</f>
        <v>3</v>
      </c>
      <c r="O21" s="15">
        <f>VLOOKUP($I21,'DB2'!$B$5:$P$2967,9,0)</f>
        <v>6</v>
      </c>
      <c r="P21" s="64" t="str">
        <f t="shared" si="6"/>
        <v>Short Build Up</v>
      </c>
      <c r="Q21" s="89">
        <f t="shared" si="7"/>
        <v>3.1261397384463086E-4</v>
      </c>
      <c r="R21" s="70">
        <f t="shared" si="1"/>
        <v>0</v>
      </c>
      <c r="S21" s="70">
        <f t="shared" si="2"/>
        <v>2.95</v>
      </c>
      <c r="T21" s="70">
        <f t="shared" si="3"/>
        <v>2957.6999999999971</v>
      </c>
      <c r="U21" s="70">
        <f t="shared" si="4"/>
        <v>12.30000000000291</v>
      </c>
    </row>
    <row r="22" spans="1:21" x14ac:dyDescent="0.25">
      <c r="B22" s="19" t="s">
        <v>33</v>
      </c>
      <c r="C22" s="20">
        <f>SUM(C9:C21)</f>
        <v>384644</v>
      </c>
      <c r="D22" s="20">
        <f>SUM(D9:D21)</f>
        <v>128134</v>
      </c>
      <c r="E22" s="20">
        <f>SUM(E9:E21)</f>
        <v>6115552</v>
      </c>
      <c r="F22" s="20"/>
      <c r="G22" s="20"/>
      <c r="H22" s="20"/>
      <c r="I22" s="20"/>
      <c r="J22" s="20"/>
      <c r="K22" s="20"/>
      <c r="L22" s="20"/>
      <c r="M22" s="20">
        <f>SUM(M9:M21)</f>
        <v>5444800</v>
      </c>
      <c r="N22" s="20">
        <f>SUM(N9:N21)</f>
        <v>169181</v>
      </c>
      <c r="O22" s="20">
        <f>SUM(O9:O21)</f>
        <v>368587</v>
      </c>
      <c r="P22" s="19" t="s">
        <v>33</v>
      </c>
      <c r="Q22" s="88">
        <f>O22/C22</f>
        <v>0.95825490583500583</v>
      </c>
      <c r="R22" s="69"/>
      <c r="S22" s="69"/>
      <c r="T22" s="69"/>
      <c r="U22" s="69"/>
    </row>
    <row r="23" spans="1:21" x14ac:dyDescent="0.25">
      <c r="A23" s="30"/>
      <c r="I23" s="24"/>
      <c r="J23" s="24"/>
      <c r="K23" s="24"/>
      <c r="L23" s="24"/>
      <c r="M23" s="24"/>
      <c r="N23" s="24"/>
      <c r="O23" s="24"/>
      <c r="P23" s="24"/>
      <c r="Q23" s="24"/>
    </row>
    <row r="24" spans="1:21" x14ac:dyDescent="0.25">
      <c r="A24" s="30"/>
      <c r="I24" s="24"/>
      <c r="J24" s="24"/>
      <c r="K24" s="24"/>
      <c r="L24" s="24"/>
      <c r="M24" s="24"/>
      <c r="N24" s="24"/>
      <c r="O24" s="24"/>
      <c r="P24" s="24"/>
      <c r="Q24" s="24"/>
    </row>
    <row r="25" spans="1:21" x14ac:dyDescent="0.25">
      <c r="A25" s="30"/>
      <c r="I25" s="24"/>
      <c r="J25" s="24"/>
      <c r="K25" s="24"/>
      <c r="L25" s="24"/>
      <c r="M25" s="24"/>
      <c r="N25" s="24"/>
      <c r="O25" s="24"/>
      <c r="P25" s="24"/>
      <c r="Q25" s="24"/>
    </row>
    <row r="26" spans="1:21" x14ac:dyDescent="0.25">
      <c r="A26" s="30"/>
      <c r="B26" s="24"/>
      <c r="C26" s="24"/>
      <c r="D26" s="24"/>
      <c r="E26" s="24"/>
      <c r="F26" s="24"/>
      <c r="G26" s="24"/>
      <c r="H26" s="24"/>
      <c r="I26" s="24"/>
      <c r="J26" s="24"/>
      <c r="K26" s="24"/>
      <c r="L26" s="24"/>
      <c r="M26" s="24"/>
      <c r="N26" s="24"/>
      <c r="O26" s="24"/>
      <c r="P26" s="24"/>
      <c r="Q26" s="24"/>
    </row>
    <row r="27" spans="1:21" x14ac:dyDescent="0.25">
      <c r="A27" s="30"/>
      <c r="B27" s="24"/>
      <c r="C27" s="24"/>
      <c r="D27" s="24"/>
      <c r="E27" s="24"/>
      <c r="F27" s="24"/>
      <c r="G27" s="24"/>
      <c r="H27" s="24"/>
      <c r="I27" s="24"/>
      <c r="J27" s="24"/>
      <c r="K27" s="24"/>
      <c r="L27" s="24"/>
      <c r="M27" s="24"/>
      <c r="N27" s="24"/>
      <c r="O27" s="24"/>
      <c r="P27" s="24"/>
      <c r="Q27" s="24"/>
    </row>
    <row r="28" spans="1:21" x14ac:dyDescent="0.25">
      <c r="A28" s="30"/>
    </row>
    <row r="29" spans="1:21" x14ac:dyDescent="0.25">
      <c r="A29" s="30"/>
      <c r="B29" s="30"/>
      <c r="C29" s="30"/>
      <c r="D29" s="30"/>
      <c r="E29" s="30"/>
      <c r="F29" s="30"/>
      <c r="G29" s="30"/>
    </row>
    <row r="32" spans="1:21" x14ac:dyDescent="0.25">
      <c r="B32" s="4"/>
    </row>
    <row r="33" spans="2:2" x14ac:dyDescent="0.25">
      <c r="B33" s="4"/>
    </row>
    <row r="34" spans="2:2" x14ac:dyDescent="0.25">
      <c r="B34" s="4"/>
    </row>
    <row r="35" spans="2:2" x14ac:dyDescent="0.25">
      <c r="B35" s="4"/>
    </row>
    <row r="36" spans="2:2" x14ac:dyDescent="0.25">
      <c r="B36" s="4"/>
    </row>
    <row r="37" spans="2:2" x14ac:dyDescent="0.25">
      <c r="B37" s="4"/>
    </row>
    <row r="38" spans="2:2" x14ac:dyDescent="0.25">
      <c r="B38" s="4"/>
    </row>
    <row r="39" spans="2:2" x14ac:dyDescent="0.25">
      <c r="B39" s="4"/>
    </row>
    <row r="40" spans="2:2" x14ac:dyDescent="0.25">
      <c r="B40" s="4"/>
    </row>
    <row r="41" spans="2:2" x14ac:dyDescent="0.25">
      <c r="B41" s="4"/>
    </row>
    <row r="42" spans="2:2" x14ac:dyDescent="0.25">
      <c r="B42" s="4"/>
    </row>
    <row r="43" spans="2:2" x14ac:dyDescent="0.25">
      <c r="B43" s="4"/>
    </row>
    <row r="44" spans="2:2" x14ac:dyDescent="0.25">
      <c r="B44" s="4"/>
    </row>
    <row r="45" spans="2:2" x14ac:dyDescent="0.25">
      <c r="B45" s="4"/>
    </row>
    <row r="46" spans="2:2" x14ac:dyDescent="0.25">
      <c r="B46" s="4"/>
    </row>
    <row r="47" spans="2:2" x14ac:dyDescent="0.25">
      <c r="B47" s="4"/>
    </row>
    <row r="48" spans="2:2" x14ac:dyDescent="0.25">
      <c r="B48" s="4"/>
    </row>
    <row r="49" spans="2:2" x14ac:dyDescent="0.25">
      <c r="B49" s="4"/>
    </row>
    <row r="50" spans="2:2" x14ac:dyDescent="0.25">
      <c r="B50" s="4"/>
    </row>
    <row r="51" spans="2:2" x14ac:dyDescent="0.25">
      <c r="B51" s="4"/>
    </row>
    <row r="52" spans="2:2" x14ac:dyDescent="0.25">
      <c r="B52" s="4"/>
    </row>
    <row r="53" spans="2:2" x14ac:dyDescent="0.25">
      <c r="B53" s="4"/>
    </row>
    <row r="54" spans="2:2" x14ac:dyDescent="0.25">
      <c r="B54" s="4"/>
    </row>
    <row r="55" spans="2:2" x14ac:dyDescent="0.25">
      <c r="B55" s="4"/>
    </row>
    <row r="56" spans="2:2" x14ac:dyDescent="0.25">
      <c r="B56" s="4"/>
    </row>
  </sheetData>
  <mergeCells count="4">
    <mergeCell ref="B1:P2"/>
    <mergeCell ref="I6:I7"/>
    <mergeCell ref="B7:H7"/>
    <mergeCell ref="J7:P7"/>
  </mergeCells>
  <conditionalFormatting sqref="N9:O21">
    <cfRule type="dataBar" priority="21">
      <dataBar>
        <cfvo type="min"/>
        <cfvo type="max"/>
        <color theme="9" tint="0.39997558519241921"/>
      </dataBar>
      <extLst>
        <ext xmlns:x14="http://schemas.microsoft.com/office/spreadsheetml/2009/9/main" uri="{B025F937-C7B1-47D3-B67F-A62EFF666E3E}">
          <x14:id>{3AA1D070-8030-468A-949D-9DCD078B8785}</x14:id>
        </ext>
      </extLst>
    </cfRule>
  </conditionalFormatting>
  <conditionalFormatting sqref="C9:D21">
    <cfRule type="dataBar" priority="22">
      <dataBar>
        <cfvo type="min"/>
        <cfvo type="max"/>
        <color theme="5" tint="0.59999389629810485"/>
      </dataBar>
      <extLst>
        <ext xmlns:x14="http://schemas.microsoft.com/office/spreadsheetml/2009/9/main" uri="{B025F937-C7B1-47D3-B67F-A62EFF666E3E}">
          <x14:id>{F3AF06A9-9731-434E-A4C3-7E88A6A4B04B}</x14:id>
        </ext>
      </extLst>
    </cfRule>
  </conditionalFormatting>
  <conditionalFormatting sqref="S9:S21">
    <cfRule type="colorScale" priority="10">
      <colorScale>
        <cfvo type="min"/>
        <cfvo type="percentile" val="50"/>
        <cfvo type="max"/>
        <color rgb="FF63BE7B"/>
        <color rgb="FFFCFCFF"/>
        <color rgb="FFF8696B"/>
      </colorScale>
    </cfRule>
  </conditionalFormatting>
  <conditionalFormatting sqref="U9:U21">
    <cfRule type="colorScale" priority="9">
      <colorScale>
        <cfvo type="min"/>
        <cfvo type="percentile" val="50"/>
        <cfvo type="max"/>
        <color rgb="FF63BE7B"/>
        <color rgb="FFFCFCFF"/>
        <color rgb="FFF8696B"/>
      </colorScale>
    </cfRule>
  </conditionalFormatting>
  <conditionalFormatting sqref="B9:B21">
    <cfRule type="cellIs" dxfId="60" priority="5" operator="equal">
      <formula>"Short Covering"</formula>
    </cfRule>
    <cfRule type="cellIs" dxfId="59" priority="6" operator="equal">
      <formula>"Long Unwinding"</formula>
    </cfRule>
    <cfRule type="cellIs" dxfId="58" priority="7" operator="equal">
      <formula>"Short Build Up"</formula>
    </cfRule>
    <cfRule type="cellIs" dxfId="57" priority="8" operator="equal">
      <formula>"Long Build Up"</formula>
    </cfRule>
  </conditionalFormatting>
  <conditionalFormatting sqref="P9:P21">
    <cfRule type="cellIs" dxfId="56" priority="1" operator="equal">
      <formula>"Short Covering"</formula>
    </cfRule>
    <cfRule type="cellIs" dxfId="55" priority="2" operator="equal">
      <formula>"Long Unwinding"</formula>
    </cfRule>
    <cfRule type="cellIs" dxfId="54" priority="3" operator="equal">
      <formula>"Long Build Up"</formula>
    </cfRule>
    <cfRule type="cellIs" dxfId="53" priority="4" operator="equal">
      <formula>"Short Build Up"</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ManualRefresh">
                <anchor moveWithCells="1" sizeWithCells="1">
                  <from>
                    <xdr:col>17</xdr:col>
                    <xdr:colOff>142875</xdr:colOff>
                    <xdr:row>0</xdr:row>
                    <xdr:rowOff>38100</xdr:rowOff>
                  </from>
                  <to>
                    <xdr:col>18</xdr:col>
                    <xdr:colOff>590550</xdr:colOff>
                    <xdr:row>2</xdr:row>
                    <xdr:rowOff>57150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AA1D070-8030-468A-949D-9DCD078B8785}">
            <x14:dataBar minLength="0" maxLength="100" border="1" direction="rightToLeft">
              <x14:cfvo type="autoMin"/>
              <x14:cfvo type="autoMax"/>
              <x14:borderColor theme="9" tint="-0.249977111117893"/>
              <x14:negativeFillColor rgb="FFFF0000"/>
              <x14:axisColor rgb="FF000000"/>
            </x14:dataBar>
          </x14:cfRule>
          <xm:sqref>N9:O21</xm:sqref>
        </x14:conditionalFormatting>
        <x14:conditionalFormatting xmlns:xm="http://schemas.microsoft.com/office/excel/2006/main">
          <x14:cfRule type="dataBar" id="{F3AF06A9-9731-434E-A4C3-7E88A6A4B04B}">
            <x14:dataBar minLength="0" maxLength="100" border="1">
              <x14:cfvo type="autoMin"/>
              <x14:cfvo type="autoMax"/>
              <x14:borderColor theme="5" tint="-0.249977111117893"/>
              <x14:negativeFillColor rgb="FFFF0000"/>
              <x14:axisColor rgb="FF000000"/>
            </x14:dataBar>
          </x14:cfRule>
          <xm:sqref>C9:D21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B2:P355"/>
  <sheetViews>
    <sheetView showGridLines="0" topLeftCell="A18" zoomScaleNormal="100" workbookViewId="0">
      <selection activeCell="B39" sqref="B39:K39"/>
    </sheetView>
  </sheetViews>
  <sheetFormatPr defaultRowHeight="15" x14ac:dyDescent="0.25"/>
  <cols>
    <col min="1" max="1" width="3.42578125" style="21" customWidth="1"/>
    <col min="2" max="2" width="7" style="21" customWidth="1"/>
    <col min="3" max="3" width="10.28515625" style="21" customWidth="1"/>
    <col min="4" max="4" width="13" style="21" customWidth="1"/>
    <col min="5" max="5" width="12.85546875" style="21" customWidth="1"/>
    <col min="6" max="6" width="12.5703125" style="21" customWidth="1"/>
    <col min="7" max="7" width="13.42578125" style="21" customWidth="1"/>
    <col min="8" max="11" width="12.28515625" style="21" customWidth="1"/>
    <col min="12" max="12" width="14.140625" style="21" customWidth="1"/>
    <col min="13" max="16384" width="9.140625" style="21"/>
  </cols>
  <sheetData>
    <row r="2" spans="2:14" ht="31.5" customHeight="1" x14ac:dyDescent="0.25">
      <c r="B2" s="54" t="s">
        <v>55</v>
      </c>
      <c r="C2" s="54" t="s">
        <v>54</v>
      </c>
      <c r="D2" s="54" t="s">
        <v>58</v>
      </c>
      <c r="E2" s="54" t="s">
        <v>59</v>
      </c>
      <c r="F2" s="54" t="s">
        <v>223</v>
      </c>
      <c r="G2" s="54" t="s">
        <v>224</v>
      </c>
      <c r="H2" s="54" t="s">
        <v>53</v>
      </c>
      <c r="I2" s="54" t="s">
        <v>232</v>
      </c>
      <c r="J2" s="54" t="s">
        <v>233</v>
      </c>
      <c r="K2" s="54" t="s">
        <v>236</v>
      </c>
      <c r="L2" s="55" t="s">
        <v>231</v>
      </c>
    </row>
    <row r="3" spans="2:14" x14ac:dyDescent="0.25">
      <c r="B3" s="56">
        <v>0</v>
      </c>
      <c r="C3" s="57">
        <v>0</v>
      </c>
      <c r="D3" s="57">
        <v>0</v>
      </c>
      <c r="E3" s="57">
        <v>0</v>
      </c>
      <c r="F3" s="57"/>
      <c r="G3" s="57"/>
      <c r="H3" s="57">
        <v>0</v>
      </c>
      <c r="I3" s="57"/>
      <c r="J3" s="57"/>
      <c r="K3" s="57"/>
      <c r="L3" s="58">
        <v>0</v>
      </c>
    </row>
    <row r="4" spans="2:14" x14ac:dyDescent="0.25">
      <c r="B4" s="59">
        <v>44785.395616087961</v>
      </c>
      <c r="C4" s="60">
        <v>17615.150000000001</v>
      </c>
      <c r="D4" s="62">
        <v>5005900</v>
      </c>
      <c r="E4" s="62">
        <v>4144950</v>
      </c>
      <c r="F4" s="62">
        <v>590759</v>
      </c>
      <c r="G4" s="62">
        <v>660487</v>
      </c>
      <c r="H4" s="62">
        <v>-860950</v>
      </c>
      <c r="I4" s="84">
        <v>12.14</v>
      </c>
      <c r="J4" s="84">
        <v>14.48</v>
      </c>
      <c r="K4" s="84">
        <v>3.08</v>
      </c>
      <c r="L4" s="61" t="str">
        <f>IF(D4&gt;E4,"BEARISH",IF(D4&lt;E4,"BULLISH","NOT CONCLUSIVE"))</f>
        <v>BEARISH</v>
      </c>
      <c r="N4" s="22"/>
    </row>
    <row r="5" spans="2:14" x14ac:dyDescent="0.25">
      <c r="B5" s="59">
        <v>44785.401045949075</v>
      </c>
      <c r="C5" s="60">
        <v>17608.95</v>
      </c>
      <c r="D5" s="62">
        <v>9045000</v>
      </c>
      <c r="E5" s="62">
        <v>6443000</v>
      </c>
      <c r="F5" s="62">
        <v>929401</v>
      </c>
      <c r="G5" s="62">
        <v>1032743</v>
      </c>
      <c r="H5" s="62">
        <v>-2602000</v>
      </c>
      <c r="I5" s="84">
        <v>12.1</v>
      </c>
      <c r="J5" s="84">
        <v>14.36</v>
      </c>
      <c r="K5" s="84">
        <v>2.4300000000000002</v>
      </c>
      <c r="L5" s="61" t="str">
        <f t="shared" ref="L5:L68" si="0">IF(D5&gt;E5,"BEARISH",IF(D5&lt;E5,"BULLISH","NOT CONCLUSIVE"))</f>
        <v>BEARISH</v>
      </c>
      <c r="N5" s="23"/>
    </row>
    <row r="6" spans="2:14" x14ac:dyDescent="0.25">
      <c r="B6" s="59">
        <v>44785.402466898151</v>
      </c>
      <c r="C6" s="60">
        <v>17608.95</v>
      </c>
      <c r="D6" s="62">
        <v>9045000</v>
      </c>
      <c r="E6" s="62">
        <v>6443000</v>
      </c>
      <c r="F6" s="62">
        <v>929401</v>
      </c>
      <c r="G6" s="62">
        <v>1032743</v>
      </c>
      <c r="H6" s="62">
        <v>-2602000</v>
      </c>
      <c r="I6" s="84">
        <v>12.1</v>
      </c>
      <c r="J6" s="84">
        <v>14.36</v>
      </c>
      <c r="K6" s="84">
        <v>2.4300000000000002</v>
      </c>
      <c r="L6" s="61" t="str">
        <f t="shared" si="0"/>
        <v>BEARISH</v>
      </c>
      <c r="N6" s="23"/>
    </row>
    <row r="7" spans="2:14" x14ac:dyDescent="0.25">
      <c r="B7" s="59">
        <v>44785.409305324072</v>
      </c>
      <c r="C7" s="60">
        <v>17644.900000000001</v>
      </c>
      <c r="D7" s="62">
        <v>11307800</v>
      </c>
      <c r="E7" s="62">
        <v>7433350</v>
      </c>
      <c r="F7" s="62">
        <v>1437821</v>
      </c>
      <c r="G7" s="62">
        <v>1408010</v>
      </c>
      <c r="H7" s="62">
        <v>-3874450</v>
      </c>
      <c r="I7" s="84">
        <v>11.28</v>
      </c>
      <c r="J7" s="84">
        <v>14.67</v>
      </c>
      <c r="K7" s="84">
        <v>0.94</v>
      </c>
      <c r="L7" s="61" t="str">
        <f t="shared" si="0"/>
        <v>BEARISH</v>
      </c>
      <c r="N7" s="23"/>
    </row>
    <row r="8" spans="2:14" x14ac:dyDescent="0.25">
      <c r="B8" s="59">
        <v>44785.409412152774</v>
      </c>
      <c r="C8" s="60">
        <v>17644.900000000001</v>
      </c>
      <c r="D8" s="62">
        <v>11307800</v>
      </c>
      <c r="E8" s="62">
        <v>7433350</v>
      </c>
      <c r="F8" s="62">
        <v>1437821</v>
      </c>
      <c r="G8" s="62">
        <v>1408010</v>
      </c>
      <c r="H8" s="62">
        <v>-3874450</v>
      </c>
      <c r="I8" s="84">
        <v>11.28</v>
      </c>
      <c r="J8" s="84">
        <v>14.67</v>
      </c>
      <c r="K8" s="84">
        <v>0.94</v>
      </c>
      <c r="L8" s="61" t="str">
        <f t="shared" si="0"/>
        <v>BEARISH</v>
      </c>
      <c r="N8" s="23"/>
    </row>
    <row r="9" spans="2:14" x14ac:dyDescent="0.25">
      <c r="B9" s="59">
        <v>44785.415505787038</v>
      </c>
      <c r="C9" s="60">
        <v>17656.900000000001</v>
      </c>
      <c r="D9" s="62">
        <v>11076950</v>
      </c>
      <c r="E9" s="62">
        <v>8545350</v>
      </c>
      <c r="F9" s="62">
        <v>1781380</v>
      </c>
      <c r="G9" s="62">
        <v>1692837</v>
      </c>
      <c r="H9" s="62">
        <v>-2531600</v>
      </c>
      <c r="I9" s="84">
        <v>11.41</v>
      </c>
      <c r="J9" s="84">
        <v>14.64</v>
      </c>
      <c r="K9" s="84">
        <v>1.05</v>
      </c>
      <c r="L9" s="61" t="str">
        <f t="shared" si="0"/>
        <v>BEARISH</v>
      </c>
      <c r="N9" s="23"/>
    </row>
    <row r="10" spans="2:14" x14ac:dyDescent="0.25">
      <c r="B10" s="59">
        <v>44785.416360648145</v>
      </c>
      <c r="C10" s="60">
        <v>17656.900000000001</v>
      </c>
      <c r="D10" s="62">
        <v>11076950</v>
      </c>
      <c r="E10" s="62">
        <v>8545350</v>
      </c>
      <c r="F10" s="62">
        <v>1781380</v>
      </c>
      <c r="G10" s="62">
        <v>1692837</v>
      </c>
      <c r="H10" s="62">
        <v>-2531600</v>
      </c>
      <c r="I10" s="84">
        <v>11.41</v>
      </c>
      <c r="J10" s="84">
        <v>14.64</v>
      </c>
      <c r="K10" s="84">
        <v>1.05</v>
      </c>
      <c r="L10" s="61" t="str">
        <f t="shared" si="0"/>
        <v>BEARISH</v>
      </c>
      <c r="N10" s="23"/>
    </row>
    <row r="11" spans="2:14" x14ac:dyDescent="0.25">
      <c r="B11" s="59">
        <v>44785.419617129628</v>
      </c>
      <c r="C11" s="60">
        <v>17652.8</v>
      </c>
      <c r="D11" s="62">
        <v>11244650</v>
      </c>
      <c r="E11" s="62">
        <v>9008650</v>
      </c>
      <c r="F11" s="62">
        <v>1844058</v>
      </c>
      <c r="G11" s="62">
        <v>1738073</v>
      </c>
      <c r="H11" s="62">
        <v>-2236000</v>
      </c>
      <c r="I11" s="84">
        <v>11.65</v>
      </c>
      <c r="J11" s="84">
        <v>14.41</v>
      </c>
      <c r="K11" s="84">
        <v>1.08</v>
      </c>
      <c r="L11" s="61" t="str">
        <f t="shared" si="0"/>
        <v>BEARISH</v>
      </c>
      <c r="N11" s="23"/>
    </row>
    <row r="12" spans="2:14" x14ac:dyDescent="0.25">
      <c r="B12" s="59">
        <v>44785.434412152776</v>
      </c>
      <c r="C12" s="60">
        <v>17652.8</v>
      </c>
      <c r="D12" s="62">
        <v>11244650</v>
      </c>
      <c r="E12" s="62">
        <v>9008650</v>
      </c>
      <c r="F12" s="62">
        <v>1844058</v>
      </c>
      <c r="G12" s="62">
        <v>1738073</v>
      </c>
      <c r="H12" s="62">
        <v>-2236000</v>
      </c>
      <c r="I12" s="84">
        <v>11.65</v>
      </c>
      <c r="J12" s="84">
        <v>14.41</v>
      </c>
      <c r="K12" s="84">
        <v>1.08</v>
      </c>
      <c r="L12" s="61" t="str">
        <f t="shared" si="0"/>
        <v>BEARISH</v>
      </c>
      <c r="N12" s="23"/>
    </row>
    <row r="13" spans="2:14" x14ac:dyDescent="0.25">
      <c r="B13" s="59">
        <v>44785.440301273149</v>
      </c>
      <c r="C13" s="60">
        <v>17673.95</v>
      </c>
      <c r="D13" s="62">
        <v>13200800</v>
      </c>
      <c r="E13" s="62">
        <v>12137450</v>
      </c>
      <c r="F13" s="62">
        <v>2729602</v>
      </c>
      <c r="G13" s="62">
        <v>2451194</v>
      </c>
      <c r="H13" s="62">
        <v>-1063350</v>
      </c>
      <c r="I13" s="84">
        <v>11.52</v>
      </c>
      <c r="J13" s="84">
        <v>14.21</v>
      </c>
      <c r="K13" s="84">
        <v>1.27</v>
      </c>
      <c r="L13" s="61" t="str">
        <f t="shared" si="0"/>
        <v>BEARISH</v>
      </c>
      <c r="N13" s="23"/>
    </row>
    <row r="14" spans="2:14" x14ac:dyDescent="0.25">
      <c r="B14" s="59">
        <v>44785.441361342593</v>
      </c>
      <c r="C14" s="60">
        <v>17673.95</v>
      </c>
      <c r="D14" s="62">
        <v>13200800</v>
      </c>
      <c r="E14" s="62">
        <v>12137450</v>
      </c>
      <c r="F14" s="62">
        <v>2729602</v>
      </c>
      <c r="G14" s="62">
        <v>2451194</v>
      </c>
      <c r="H14" s="62">
        <v>-1063350</v>
      </c>
      <c r="I14" s="84">
        <v>11.52</v>
      </c>
      <c r="J14" s="84">
        <v>14.21</v>
      </c>
      <c r="K14" s="84">
        <v>1.27</v>
      </c>
      <c r="L14" s="61" t="str">
        <f t="shared" si="0"/>
        <v>BEARISH</v>
      </c>
      <c r="N14" s="23"/>
    </row>
    <row r="15" spans="2:14" x14ac:dyDescent="0.25">
      <c r="B15" s="59">
        <v>44785.446493171294</v>
      </c>
      <c r="C15" s="60">
        <v>17665.45</v>
      </c>
      <c r="D15" s="62">
        <v>13843100</v>
      </c>
      <c r="E15" s="62">
        <v>12634050</v>
      </c>
      <c r="F15" s="62">
        <v>2953385</v>
      </c>
      <c r="G15" s="62">
        <v>2640205</v>
      </c>
      <c r="H15" s="62">
        <v>-1209050</v>
      </c>
      <c r="I15" s="84">
        <v>11.6</v>
      </c>
      <c r="J15" s="84">
        <v>13.89</v>
      </c>
      <c r="K15" s="84">
        <v>1.26</v>
      </c>
      <c r="L15" s="61" t="str">
        <f t="shared" si="0"/>
        <v>BEARISH</v>
      </c>
      <c r="N15" s="23"/>
    </row>
    <row r="16" spans="2:14" x14ac:dyDescent="0.25">
      <c r="B16" s="59">
        <v>44785.448305439815</v>
      </c>
      <c r="C16" s="60">
        <v>17665.45</v>
      </c>
      <c r="D16" s="62">
        <v>13843100</v>
      </c>
      <c r="E16" s="62">
        <v>12634050</v>
      </c>
      <c r="F16" s="62">
        <v>2953385</v>
      </c>
      <c r="G16" s="62">
        <v>2640205</v>
      </c>
      <c r="H16" s="62">
        <v>-1209050</v>
      </c>
      <c r="I16" s="84">
        <v>11.6</v>
      </c>
      <c r="J16" s="84">
        <v>13.89</v>
      </c>
      <c r="K16" s="84">
        <v>1.26</v>
      </c>
      <c r="L16" s="61" t="str">
        <f t="shared" si="0"/>
        <v>BEARISH</v>
      </c>
      <c r="N16" s="23"/>
    </row>
    <row r="17" spans="2:14" x14ac:dyDescent="0.25">
      <c r="B17" s="59">
        <v>44785.454775231483</v>
      </c>
      <c r="C17" s="60">
        <v>17663.8</v>
      </c>
      <c r="D17" s="62">
        <v>14141050</v>
      </c>
      <c r="E17" s="62">
        <v>12613950</v>
      </c>
      <c r="F17" s="62">
        <v>3224000</v>
      </c>
      <c r="G17" s="62">
        <v>2897335</v>
      </c>
      <c r="H17" s="62">
        <v>-1527100</v>
      </c>
      <c r="I17" s="84">
        <v>11.54</v>
      </c>
      <c r="J17" s="84">
        <v>14.01</v>
      </c>
      <c r="K17" s="84">
        <v>1.24</v>
      </c>
      <c r="L17" s="61" t="str">
        <f t="shared" si="0"/>
        <v>BEARISH</v>
      </c>
      <c r="N17" s="23"/>
    </row>
    <row r="18" spans="2:14" x14ac:dyDescent="0.25">
      <c r="B18" s="59">
        <v>44785.455254282409</v>
      </c>
      <c r="C18" s="60">
        <v>17663.8</v>
      </c>
      <c r="D18" s="62">
        <v>14141050</v>
      </c>
      <c r="E18" s="62">
        <v>12613950</v>
      </c>
      <c r="F18" s="62">
        <v>3224000</v>
      </c>
      <c r="G18" s="62">
        <v>2897335</v>
      </c>
      <c r="H18" s="62">
        <v>-1527100</v>
      </c>
      <c r="I18" s="84">
        <v>11.54</v>
      </c>
      <c r="J18" s="84">
        <v>14.01</v>
      </c>
      <c r="K18" s="84">
        <v>1.24</v>
      </c>
      <c r="L18" s="61" t="str">
        <f t="shared" si="0"/>
        <v>BEARISH</v>
      </c>
      <c r="N18" s="23"/>
    </row>
    <row r="19" spans="2:14" x14ac:dyDescent="0.25">
      <c r="B19" s="59">
        <v>44785.460983680554</v>
      </c>
      <c r="C19" s="60">
        <v>17675.400000000001</v>
      </c>
      <c r="D19" s="62">
        <v>16174450</v>
      </c>
      <c r="E19" s="62">
        <v>12470500</v>
      </c>
      <c r="F19" s="62">
        <v>3772463</v>
      </c>
      <c r="G19" s="62">
        <v>2914162</v>
      </c>
      <c r="H19" s="62">
        <v>-3703950</v>
      </c>
      <c r="I19" s="84">
        <v>11.14</v>
      </c>
      <c r="J19" s="84">
        <v>13.98</v>
      </c>
      <c r="K19" s="84">
        <v>0.67</v>
      </c>
      <c r="L19" s="61" t="str">
        <f t="shared" si="0"/>
        <v>BEARISH</v>
      </c>
      <c r="N19" s="23"/>
    </row>
    <row r="20" spans="2:14" x14ac:dyDescent="0.25">
      <c r="B20" s="59">
        <v>44785.462217129629</v>
      </c>
      <c r="C20" s="60">
        <v>17675.400000000001</v>
      </c>
      <c r="D20" s="62">
        <v>16174450</v>
      </c>
      <c r="E20" s="62">
        <v>12470500</v>
      </c>
      <c r="F20" s="62">
        <v>3772463</v>
      </c>
      <c r="G20" s="62">
        <v>2914162</v>
      </c>
      <c r="H20" s="62">
        <v>-3703950</v>
      </c>
      <c r="I20" s="84">
        <v>11.14</v>
      </c>
      <c r="J20" s="84">
        <v>13.98</v>
      </c>
      <c r="K20" s="84">
        <v>0.67</v>
      </c>
      <c r="L20" s="61" t="str">
        <f t="shared" si="0"/>
        <v>BEARISH</v>
      </c>
      <c r="N20" s="23"/>
    </row>
    <row r="21" spans="2:14" x14ac:dyDescent="0.25">
      <c r="B21" s="59">
        <v>44785.46786759259</v>
      </c>
      <c r="C21" s="60">
        <v>17683.150000000001</v>
      </c>
      <c r="D21" s="62">
        <v>16170600</v>
      </c>
      <c r="E21" s="62">
        <v>13028350</v>
      </c>
      <c r="F21" s="62">
        <v>3935270</v>
      </c>
      <c r="G21" s="62">
        <v>3047080</v>
      </c>
      <c r="H21" s="62">
        <v>-3142250</v>
      </c>
      <c r="I21" s="84">
        <v>10.86</v>
      </c>
      <c r="J21" s="84">
        <v>14.12</v>
      </c>
      <c r="K21" s="84">
        <v>0.7</v>
      </c>
      <c r="L21" s="61" t="str">
        <f t="shared" si="0"/>
        <v>BEARISH</v>
      </c>
      <c r="N21" s="23"/>
    </row>
    <row r="22" spans="2:14" x14ac:dyDescent="0.25">
      <c r="B22" s="59">
        <v>44785.469163773145</v>
      </c>
      <c r="C22" s="60">
        <v>17683.150000000001</v>
      </c>
      <c r="D22" s="62">
        <v>16170600</v>
      </c>
      <c r="E22" s="62">
        <v>13028350</v>
      </c>
      <c r="F22" s="62">
        <v>3935270</v>
      </c>
      <c r="G22" s="62">
        <v>3047080</v>
      </c>
      <c r="H22" s="62">
        <v>-3142250</v>
      </c>
      <c r="I22" s="84">
        <v>10.86</v>
      </c>
      <c r="J22" s="84">
        <v>14.12</v>
      </c>
      <c r="K22" s="84">
        <v>0.7</v>
      </c>
      <c r="L22" s="61" t="str">
        <f t="shared" si="0"/>
        <v>BEARISH</v>
      </c>
      <c r="N22" s="23"/>
    </row>
    <row r="23" spans="2:14" x14ac:dyDescent="0.25">
      <c r="B23" s="59">
        <v>44785.474076388891</v>
      </c>
      <c r="C23" s="60">
        <v>17675.2</v>
      </c>
      <c r="D23" s="62">
        <v>16089350</v>
      </c>
      <c r="E23" s="62">
        <v>13407500</v>
      </c>
      <c r="F23" s="62">
        <v>4065573</v>
      </c>
      <c r="G23" s="62">
        <v>3151582</v>
      </c>
      <c r="H23" s="62">
        <v>-2681850</v>
      </c>
      <c r="I23" s="84">
        <v>10.92</v>
      </c>
      <c r="J23" s="84">
        <v>14.04</v>
      </c>
      <c r="K23" s="84">
        <v>0.73</v>
      </c>
      <c r="L23" s="61" t="str">
        <f t="shared" si="0"/>
        <v>BEARISH</v>
      </c>
      <c r="N23" s="23"/>
    </row>
    <row r="24" spans="2:14" x14ac:dyDescent="0.25">
      <c r="B24" s="59">
        <v>44785.476112615739</v>
      </c>
      <c r="C24" s="60">
        <v>17675.2</v>
      </c>
      <c r="D24" s="62">
        <v>16089350</v>
      </c>
      <c r="E24" s="62">
        <v>13407500</v>
      </c>
      <c r="F24" s="62">
        <v>4065573</v>
      </c>
      <c r="G24" s="62">
        <v>3151582</v>
      </c>
      <c r="H24" s="62">
        <v>-2681850</v>
      </c>
      <c r="I24" s="84">
        <v>10.92</v>
      </c>
      <c r="J24" s="84">
        <v>14.04</v>
      </c>
      <c r="K24" s="84">
        <v>0.73</v>
      </c>
      <c r="L24" s="61" t="str">
        <f t="shared" si="0"/>
        <v>BEARISH</v>
      </c>
      <c r="N24" s="23"/>
    </row>
    <row r="25" spans="2:14" x14ac:dyDescent="0.25">
      <c r="B25" s="59">
        <v>44785.482323263888</v>
      </c>
      <c r="C25" s="60">
        <v>17693.849999999999</v>
      </c>
      <c r="D25" s="62">
        <v>15209450</v>
      </c>
      <c r="E25" s="62">
        <v>13553400</v>
      </c>
      <c r="F25" s="62">
        <v>4384184</v>
      </c>
      <c r="G25" s="62">
        <v>3398691</v>
      </c>
      <c r="H25" s="62">
        <v>-1656050</v>
      </c>
      <c r="I25" s="84">
        <v>10.78</v>
      </c>
      <c r="J25" s="84">
        <v>13.91</v>
      </c>
      <c r="K25" s="84">
        <v>0.77</v>
      </c>
      <c r="L25" s="61" t="str">
        <f t="shared" si="0"/>
        <v>BEARISH</v>
      </c>
      <c r="N25" s="23"/>
    </row>
    <row r="26" spans="2:14" x14ac:dyDescent="0.25">
      <c r="B26" s="59">
        <v>44785.483072222225</v>
      </c>
      <c r="C26" s="60">
        <v>17693.849999999999</v>
      </c>
      <c r="D26" s="62">
        <v>15209450</v>
      </c>
      <c r="E26" s="62">
        <v>13553400</v>
      </c>
      <c r="F26" s="62">
        <v>4384184</v>
      </c>
      <c r="G26" s="62">
        <v>3398691</v>
      </c>
      <c r="H26" s="62">
        <v>-1656050</v>
      </c>
      <c r="I26" s="84">
        <v>10.78</v>
      </c>
      <c r="J26" s="84">
        <v>13.91</v>
      </c>
      <c r="K26" s="84">
        <v>0.77</v>
      </c>
      <c r="L26" s="61" t="str">
        <f t="shared" si="0"/>
        <v>BEARISH</v>
      </c>
      <c r="N26" s="23"/>
    </row>
    <row r="27" spans="2:14" x14ac:dyDescent="0.25">
      <c r="B27" s="59">
        <v>44785.488531712967</v>
      </c>
      <c r="C27" s="60">
        <v>17687.8</v>
      </c>
      <c r="D27" s="62">
        <v>15147000</v>
      </c>
      <c r="E27" s="62">
        <v>13655150</v>
      </c>
      <c r="F27" s="62">
        <v>4559457</v>
      </c>
      <c r="G27" s="62">
        <v>3532049</v>
      </c>
      <c r="H27" s="62">
        <v>-1491850</v>
      </c>
      <c r="I27" s="84">
        <v>10.79</v>
      </c>
      <c r="J27" s="84">
        <v>14.02</v>
      </c>
      <c r="K27" s="84">
        <v>0.8</v>
      </c>
      <c r="L27" s="61" t="str">
        <f t="shared" si="0"/>
        <v>BEARISH</v>
      </c>
      <c r="N27" s="23"/>
    </row>
    <row r="28" spans="2:14" x14ac:dyDescent="0.25">
      <c r="B28" s="59">
        <v>44785.490044328704</v>
      </c>
      <c r="C28" s="60">
        <v>17687.8</v>
      </c>
      <c r="D28" s="62">
        <v>15147000</v>
      </c>
      <c r="E28" s="62">
        <v>13655150</v>
      </c>
      <c r="F28" s="62">
        <v>4559457</v>
      </c>
      <c r="G28" s="62">
        <v>3532049</v>
      </c>
      <c r="H28" s="62">
        <v>-1491850</v>
      </c>
      <c r="I28" s="84">
        <v>10.79</v>
      </c>
      <c r="J28" s="84">
        <v>14.02</v>
      </c>
      <c r="K28" s="84">
        <v>0.8</v>
      </c>
      <c r="L28" s="61" t="str">
        <f t="shared" si="0"/>
        <v>BEARISH</v>
      </c>
      <c r="N28" s="23"/>
    </row>
    <row r="29" spans="2:14" x14ac:dyDescent="0.25">
      <c r="B29" s="59">
        <v>44785.510078009262</v>
      </c>
      <c r="C29" s="60">
        <v>17685.650000000001</v>
      </c>
      <c r="D29" s="62">
        <v>15127350</v>
      </c>
      <c r="E29" s="62">
        <v>13803250</v>
      </c>
      <c r="F29" s="62">
        <v>4686716</v>
      </c>
      <c r="G29" s="62">
        <v>3634956</v>
      </c>
      <c r="H29" s="62">
        <v>-1324100</v>
      </c>
      <c r="I29" s="84">
        <v>10.79</v>
      </c>
      <c r="J29" s="84">
        <v>14.02</v>
      </c>
      <c r="K29" s="84">
        <v>0.81</v>
      </c>
      <c r="L29" s="61" t="str">
        <f t="shared" si="0"/>
        <v>BEARISH</v>
      </c>
      <c r="N29" s="23"/>
    </row>
    <row r="30" spans="2:14" x14ac:dyDescent="0.25">
      <c r="B30" s="59">
        <v>44785.510124652777</v>
      </c>
      <c r="C30" s="60">
        <v>17685.650000000001</v>
      </c>
      <c r="D30" s="62">
        <v>15127350</v>
      </c>
      <c r="E30" s="62">
        <v>13803250</v>
      </c>
      <c r="F30" s="62">
        <v>4686716</v>
      </c>
      <c r="G30" s="62">
        <v>3634956</v>
      </c>
      <c r="H30" s="62">
        <v>-1324100</v>
      </c>
      <c r="I30" s="84">
        <v>10.79</v>
      </c>
      <c r="J30" s="84">
        <v>14.02</v>
      </c>
      <c r="K30" s="84">
        <v>0.81</v>
      </c>
      <c r="L30" s="61" t="str">
        <f t="shared" si="0"/>
        <v>BEARISH</v>
      </c>
    </row>
    <row r="31" spans="2:14" x14ac:dyDescent="0.25">
      <c r="B31" s="59">
        <v>44785.516550810185</v>
      </c>
      <c r="C31" s="60">
        <v>17669.45</v>
      </c>
      <c r="D31" s="62">
        <v>13735950</v>
      </c>
      <c r="E31" s="62">
        <v>14093500</v>
      </c>
      <c r="F31" s="62">
        <v>4657839</v>
      </c>
      <c r="G31" s="62">
        <v>4187205</v>
      </c>
      <c r="H31" s="62">
        <v>357550</v>
      </c>
      <c r="I31" s="84">
        <v>10.69</v>
      </c>
      <c r="J31" s="84">
        <v>13.92</v>
      </c>
      <c r="K31" s="84">
        <v>1.42</v>
      </c>
      <c r="L31" s="61" t="str">
        <f t="shared" si="0"/>
        <v>BULLISH</v>
      </c>
    </row>
    <row r="32" spans="2:14" x14ac:dyDescent="0.25">
      <c r="B32" s="59">
        <v>44785.517140509262</v>
      </c>
      <c r="C32" s="60">
        <v>17669.45</v>
      </c>
      <c r="D32" s="62">
        <v>13735950</v>
      </c>
      <c r="E32" s="62">
        <v>14093500</v>
      </c>
      <c r="F32" s="62">
        <v>4657839</v>
      </c>
      <c r="G32" s="62">
        <v>4187205</v>
      </c>
      <c r="H32" s="62">
        <v>357550</v>
      </c>
      <c r="I32" s="84">
        <v>10.69</v>
      </c>
      <c r="J32" s="84">
        <v>13.92</v>
      </c>
      <c r="K32" s="84">
        <v>1.42</v>
      </c>
      <c r="L32" s="61" t="str">
        <f t="shared" si="0"/>
        <v>BULLISH</v>
      </c>
    </row>
    <row r="33" spans="2:16" x14ac:dyDescent="0.25">
      <c r="B33" s="59">
        <v>44785.522309143518</v>
      </c>
      <c r="C33" s="60">
        <v>17690.349999999999</v>
      </c>
      <c r="D33" s="62">
        <v>15973800</v>
      </c>
      <c r="E33" s="62">
        <v>13554950</v>
      </c>
      <c r="F33" s="62">
        <v>5370488</v>
      </c>
      <c r="G33" s="62">
        <v>4180725</v>
      </c>
      <c r="H33" s="62">
        <v>-2418850</v>
      </c>
      <c r="I33" s="84">
        <v>10.8</v>
      </c>
      <c r="J33" s="84">
        <v>13.92</v>
      </c>
      <c r="K33" s="84">
        <v>0.76</v>
      </c>
      <c r="L33" s="61" t="str">
        <f t="shared" si="0"/>
        <v>BEARISH</v>
      </c>
    </row>
    <row r="34" spans="2:16" x14ac:dyDescent="0.25">
      <c r="B34" s="59">
        <v>44785.524098263886</v>
      </c>
      <c r="C34" s="60">
        <v>17690.349999999999</v>
      </c>
      <c r="D34" s="62">
        <v>15973800</v>
      </c>
      <c r="E34" s="62">
        <v>13554950</v>
      </c>
      <c r="F34" s="62">
        <v>5370488</v>
      </c>
      <c r="G34" s="62">
        <v>4180725</v>
      </c>
      <c r="H34" s="62">
        <v>-2418850</v>
      </c>
      <c r="I34" s="84">
        <v>10.8</v>
      </c>
      <c r="J34" s="84">
        <v>13.92</v>
      </c>
      <c r="K34" s="84">
        <v>0.76</v>
      </c>
      <c r="L34" s="61" t="str">
        <f t="shared" si="0"/>
        <v>BEARISH</v>
      </c>
    </row>
    <row r="35" spans="2:16" x14ac:dyDescent="0.25">
      <c r="B35" s="59">
        <v>44785.530584837965</v>
      </c>
      <c r="C35" s="60">
        <v>17693.75</v>
      </c>
      <c r="D35" s="62">
        <v>15833150</v>
      </c>
      <c r="E35" s="62">
        <v>13859550</v>
      </c>
      <c r="F35" s="62">
        <v>5518953</v>
      </c>
      <c r="G35" s="62">
        <v>4293885</v>
      </c>
      <c r="H35" s="62">
        <v>-1973600</v>
      </c>
      <c r="I35" s="84">
        <v>10.58</v>
      </c>
      <c r="J35" s="84">
        <v>13.79</v>
      </c>
      <c r="K35" s="84">
        <v>0.78</v>
      </c>
      <c r="L35" s="61" t="str">
        <f t="shared" si="0"/>
        <v>BEARISH</v>
      </c>
    </row>
    <row r="36" spans="2:16" x14ac:dyDescent="0.25">
      <c r="B36" s="59">
        <v>44785.531054629631</v>
      </c>
      <c r="C36" s="60">
        <v>17693.75</v>
      </c>
      <c r="D36" s="62">
        <v>15833150</v>
      </c>
      <c r="E36" s="62">
        <v>13859550</v>
      </c>
      <c r="F36" s="62">
        <v>5518953</v>
      </c>
      <c r="G36" s="62">
        <v>4293885</v>
      </c>
      <c r="H36" s="62">
        <v>-1973600</v>
      </c>
      <c r="I36" s="84">
        <v>10.58</v>
      </c>
      <c r="J36" s="84">
        <v>13.79</v>
      </c>
      <c r="K36" s="84">
        <v>0.78</v>
      </c>
      <c r="L36" s="61" t="str">
        <f t="shared" si="0"/>
        <v>BEARISH</v>
      </c>
      <c r="P36" s="22"/>
    </row>
    <row r="37" spans="2:16" x14ac:dyDescent="0.25">
      <c r="B37" s="59">
        <v>44785.534695138886</v>
      </c>
      <c r="C37" s="60">
        <v>17693.75</v>
      </c>
      <c r="D37" s="62">
        <v>15674350</v>
      </c>
      <c r="E37" s="62">
        <v>14227800</v>
      </c>
      <c r="F37" s="62">
        <v>5576872</v>
      </c>
      <c r="G37" s="62">
        <v>4340635</v>
      </c>
      <c r="H37" s="62">
        <v>-1446550</v>
      </c>
      <c r="I37" s="84">
        <v>10.58</v>
      </c>
      <c r="J37" s="84">
        <v>13.79</v>
      </c>
      <c r="K37" s="84">
        <v>0.81</v>
      </c>
      <c r="L37" s="61" t="str">
        <f t="shared" si="0"/>
        <v>BEARISH</v>
      </c>
      <c r="P37" s="22"/>
    </row>
    <row r="38" spans="2:16" x14ac:dyDescent="0.25">
      <c r="B38" s="59">
        <v>44785.543692708336</v>
      </c>
      <c r="C38" s="60">
        <v>17693.75</v>
      </c>
      <c r="D38" s="62">
        <v>15674350</v>
      </c>
      <c r="E38" s="62">
        <v>14227800</v>
      </c>
      <c r="F38" s="62">
        <v>5576872</v>
      </c>
      <c r="G38" s="62">
        <v>4340635</v>
      </c>
      <c r="H38" s="62">
        <v>-1446550</v>
      </c>
      <c r="I38" s="84">
        <v>10.58</v>
      </c>
      <c r="J38" s="84">
        <v>13.79</v>
      </c>
      <c r="K38" s="84">
        <v>0.81</v>
      </c>
      <c r="L38" s="61" t="str">
        <f t="shared" si="0"/>
        <v>BEARISH</v>
      </c>
      <c r="P38" s="22"/>
    </row>
    <row r="39" spans="2:16" x14ac:dyDescent="0.25">
      <c r="B39" s="59">
        <v>44785.543712152779</v>
      </c>
      <c r="C39" s="60">
        <v>17693.75</v>
      </c>
      <c r="D39" s="62">
        <v>15674350</v>
      </c>
      <c r="E39" s="62">
        <v>14227800</v>
      </c>
      <c r="F39" s="62">
        <v>5576872</v>
      </c>
      <c r="G39" s="62">
        <v>4340635</v>
      </c>
      <c r="H39" s="62">
        <v>-1446550</v>
      </c>
      <c r="I39" s="84">
        <v>10.58</v>
      </c>
      <c r="J39" s="84">
        <v>13.79</v>
      </c>
      <c r="K39" s="84">
        <v>0.81</v>
      </c>
      <c r="L39" s="61" t="str">
        <f t="shared" si="0"/>
        <v>BEARISH</v>
      </c>
      <c r="P39" s="22"/>
    </row>
    <row r="40" spans="2:16" x14ac:dyDescent="0.25">
      <c r="B40" s="59"/>
      <c r="C40" s="60"/>
      <c r="D40" s="62"/>
      <c r="E40" s="62"/>
      <c r="F40" s="62"/>
      <c r="G40" s="62"/>
      <c r="H40" s="62"/>
      <c r="I40" s="84"/>
      <c r="J40" s="84"/>
      <c r="K40" s="84"/>
      <c r="L40" s="61" t="str">
        <f t="shared" si="0"/>
        <v>NOT CONCLUSIVE</v>
      </c>
      <c r="P40" s="22"/>
    </row>
    <row r="41" spans="2:16" x14ac:dyDescent="0.25">
      <c r="B41" s="59"/>
      <c r="C41" s="60"/>
      <c r="D41" s="62"/>
      <c r="E41" s="62"/>
      <c r="F41" s="62"/>
      <c r="G41" s="62"/>
      <c r="H41" s="62"/>
      <c r="I41" s="84"/>
      <c r="J41" s="84"/>
      <c r="K41" s="84"/>
      <c r="L41" s="61" t="str">
        <f t="shared" si="0"/>
        <v>NOT CONCLUSIVE</v>
      </c>
      <c r="P41" s="22"/>
    </row>
    <row r="42" spans="2:16" x14ac:dyDescent="0.25">
      <c r="B42" s="59"/>
      <c r="C42" s="60"/>
      <c r="D42" s="62"/>
      <c r="E42" s="62"/>
      <c r="F42" s="62"/>
      <c r="G42" s="62"/>
      <c r="H42" s="62"/>
      <c r="I42" s="84"/>
      <c r="J42" s="84"/>
      <c r="K42" s="84"/>
      <c r="L42" s="61" t="str">
        <f t="shared" si="0"/>
        <v>NOT CONCLUSIVE</v>
      </c>
      <c r="P42" s="22"/>
    </row>
    <row r="43" spans="2:16" x14ac:dyDescent="0.25">
      <c r="B43" s="59"/>
      <c r="C43" s="60"/>
      <c r="D43" s="62"/>
      <c r="E43" s="62"/>
      <c r="F43" s="62"/>
      <c r="G43" s="62"/>
      <c r="H43" s="62"/>
      <c r="I43" s="84"/>
      <c r="J43" s="84"/>
      <c r="K43" s="84"/>
      <c r="L43" s="61" t="str">
        <f t="shared" si="0"/>
        <v>NOT CONCLUSIVE</v>
      </c>
      <c r="P43" s="22"/>
    </row>
    <row r="44" spans="2:16" x14ac:dyDescent="0.25">
      <c r="B44" s="59"/>
      <c r="C44" s="60"/>
      <c r="D44" s="62"/>
      <c r="E44" s="62"/>
      <c r="F44" s="62"/>
      <c r="G44" s="62"/>
      <c r="H44" s="62"/>
      <c r="I44" s="84"/>
      <c r="J44" s="84"/>
      <c r="K44" s="84"/>
      <c r="L44" s="61" t="str">
        <f t="shared" si="0"/>
        <v>NOT CONCLUSIVE</v>
      </c>
      <c r="P44" s="22"/>
    </row>
    <row r="45" spans="2:16" x14ac:dyDescent="0.25">
      <c r="B45" s="59"/>
      <c r="C45" s="60"/>
      <c r="D45" s="62"/>
      <c r="E45" s="62"/>
      <c r="F45" s="62"/>
      <c r="G45" s="62"/>
      <c r="H45" s="62"/>
      <c r="I45" s="84"/>
      <c r="J45" s="84"/>
      <c r="K45" s="84"/>
      <c r="L45" s="61" t="str">
        <f t="shared" si="0"/>
        <v>NOT CONCLUSIVE</v>
      </c>
      <c r="P45" s="22"/>
    </row>
    <row r="46" spans="2:16" x14ac:dyDescent="0.25">
      <c r="B46" s="59"/>
      <c r="C46" s="60"/>
      <c r="D46" s="62"/>
      <c r="E46" s="62"/>
      <c r="F46" s="62"/>
      <c r="G46" s="62"/>
      <c r="H46" s="62"/>
      <c r="I46" s="84"/>
      <c r="J46" s="84"/>
      <c r="K46" s="84"/>
      <c r="L46" s="61" t="str">
        <f t="shared" si="0"/>
        <v>NOT CONCLUSIVE</v>
      </c>
      <c r="P46" s="22"/>
    </row>
    <row r="47" spans="2:16" x14ac:dyDescent="0.25">
      <c r="B47" s="59"/>
      <c r="C47" s="60"/>
      <c r="D47" s="62"/>
      <c r="E47" s="62"/>
      <c r="F47" s="62"/>
      <c r="G47" s="62"/>
      <c r="H47" s="62"/>
      <c r="I47" s="84"/>
      <c r="J47" s="84"/>
      <c r="K47" s="84"/>
      <c r="L47" s="61" t="str">
        <f t="shared" si="0"/>
        <v>NOT CONCLUSIVE</v>
      </c>
      <c r="P47" s="22"/>
    </row>
    <row r="48" spans="2:16" x14ac:dyDescent="0.25">
      <c r="B48" s="59"/>
      <c r="C48" s="60"/>
      <c r="D48" s="62"/>
      <c r="E48" s="62"/>
      <c r="F48" s="62"/>
      <c r="G48" s="62"/>
      <c r="H48" s="62"/>
      <c r="I48" s="84"/>
      <c r="J48" s="84"/>
      <c r="K48" s="84"/>
      <c r="L48" s="61" t="str">
        <f t="shared" si="0"/>
        <v>NOT CONCLUSIVE</v>
      </c>
      <c r="P48" s="22"/>
    </row>
    <row r="49" spans="2:16" x14ac:dyDescent="0.25">
      <c r="B49" s="59"/>
      <c r="C49" s="60"/>
      <c r="D49" s="62"/>
      <c r="E49" s="62"/>
      <c r="F49" s="62"/>
      <c r="G49" s="62"/>
      <c r="H49" s="62"/>
      <c r="I49" s="84"/>
      <c r="J49" s="84"/>
      <c r="K49" s="84"/>
      <c r="L49" s="61" t="str">
        <f t="shared" si="0"/>
        <v>NOT CONCLUSIVE</v>
      </c>
      <c r="P49" s="22"/>
    </row>
    <row r="50" spans="2:16" x14ac:dyDescent="0.25">
      <c r="B50" s="59"/>
      <c r="C50" s="60"/>
      <c r="D50" s="62"/>
      <c r="E50" s="62"/>
      <c r="F50" s="62"/>
      <c r="G50" s="62"/>
      <c r="H50" s="62"/>
      <c r="I50" s="84"/>
      <c r="J50" s="84"/>
      <c r="K50" s="84"/>
      <c r="L50" s="61" t="str">
        <f t="shared" si="0"/>
        <v>NOT CONCLUSIVE</v>
      </c>
      <c r="P50" s="22"/>
    </row>
    <row r="51" spans="2:16" x14ac:dyDescent="0.25">
      <c r="B51" s="59"/>
      <c r="C51" s="60"/>
      <c r="D51" s="62"/>
      <c r="E51" s="62"/>
      <c r="F51" s="62"/>
      <c r="G51" s="62"/>
      <c r="H51" s="62"/>
      <c r="I51" s="84"/>
      <c r="J51" s="84"/>
      <c r="K51" s="84"/>
      <c r="L51" s="61" t="str">
        <f t="shared" si="0"/>
        <v>NOT CONCLUSIVE</v>
      </c>
      <c r="P51" s="22"/>
    </row>
    <row r="52" spans="2:16" x14ac:dyDescent="0.25">
      <c r="B52" s="59"/>
      <c r="C52" s="60"/>
      <c r="D52" s="62"/>
      <c r="E52" s="62"/>
      <c r="F52" s="62"/>
      <c r="G52" s="62"/>
      <c r="H52" s="62"/>
      <c r="I52" s="84"/>
      <c r="J52" s="84"/>
      <c r="K52" s="84"/>
      <c r="L52" s="61" t="str">
        <f t="shared" si="0"/>
        <v>NOT CONCLUSIVE</v>
      </c>
      <c r="P52" s="22"/>
    </row>
    <row r="53" spans="2:16" x14ac:dyDescent="0.25">
      <c r="B53" s="59"/>
      <c r="C53" s="60"/>
      <c r="D53" s="62"/>
      <c r="E53" s="62"/>
      <c r="F53" s="62"/>
      <c r="G53" s="62"/>
      <c r="H53" s="62"/>
      <c r="I53" s="84"/>
      <c r="J53" s="84"/>
      <c r="K53" s="84"/>
      <c r="L53" s="61" t="str">
        <f t="shared" si="0"/>
        <v>NOT CONCLUSIVE</v>
      </c>
      <c r="P53" s="22"/>
    </row>
    <row r="54" spans="2:16" x14ac:dyDescent="0.25">
      <c r="B54" s="59"/>
      <c r="C54" s="60"/>
      <c r="D54" s="62"/>
      <c r="E54" s="62"/>
      <c r="F54" s="62"/>
      <c r="G54" s="62"/>
      <c r="H54" s="62"/>
      <c r="I54" s="84"/>
      <c r="J54" s="84"/>
      <c r="K54" s="84"/>
      <c r="L54" s="61" t="str">
        <f t="shared" si="0"/>
        <v>NOT CONCLUSIVE</v>
      </c>
      <c r="P54" s="22"/>
    </row>
    <row r="55" spans="2:16" x14ac:dyDescent="0.25">
      <c r="B55" s="59"/>
      <c r="C55" s="60"/>
      <c r="D55" s="62"/>
      <c r="E55" s="62"/>
      <c r="F55" s="62"/>
      <c r="G55" s="62"/>
      <c r="H55" s="62"/>
      <c r="I55" s="84"/>
      <c r="J55" s="84"/>
      <c r="K55" s="84"/>
      <c r="L55" s="61" t="str">
        <f t="shared" si="0"/>
        <v>NOT CONCLUSIVE</v>
      </c>
      <c r="P55" s="22"/>
    </row>
    <row r="56" spans="2:16" x14ac:dyDescent="0.25">
      <c r="B56" s="59"/>
      <c r="C56" s="60"/>
      <c r="D56" s="62"/>
      <c r="E56" s="62"/>
      <c r="F56" s="62"/>
      <c r="G56" s="62"/>
      <c r="H56" s="62"/>
      <c r="I56" s="84"/>
      <c r="J56" s="84"/>
      <c r="K56" s="84"/>
      <c r="L56" s="61" t="str">
        <f t="shared" si="0"/>
        <v>NOT CONCLUSIVE</v>
      </c>
      <c r="P56" s="22"/>
    </row>
    <row r="57" spans="2:16" x14ac:dyDescent="0.25">
      <c r="B57" s="59"/>
      <c r="C57" s="60"/>
      <c r="D57" s="62"/>
      <c r="E57" s="62"/>
      <c r="F57" s="62"/>
      <c r="G57" s="62"/>
      <c r="H57" s="62"/>
      <c r="I57" s="84"/>
      <c r="J57" s="84"/>
      <c r="K57" s="84"/>
      <c r="L57" s="61" t="str">
        <f t="shared" si="0"/>
        <v>NOT CONCLUSIVE</v>
      </c>
      <c r="P57" s="22"/>
    </row>
    <row r="58" spans="2:16" x14ac:dyDescent="0.25">
      <c r="B58" s="59"/>
      <c r="C58" s="60"/>
      <c r="D58" s="62"/>
      <c r="E58" s="62"/>
      <c r="F58" s="62"/>
      <c r="G58" s="62"/>
      <c r="H58" s="62"/>
      <c r="I58" s="84"/>
      <c r="J58" s="84"/>
      <c r="K58" s="84"/>
      <c r="L58" s="61" t="str">
        <f t="shared" si="0"/>
        <v>NOT CONCLUSIVE</v>
      </c>
      <c r="P58" s="22"/>
    </row>
    <row r="59" spans="2:16" x14ac:dyDescent="0.25">
      <c r="B59" s="59"/>
      <c r="C59" s="60"/>
      <c r="D59" s="62"/>
      <c r="E59" s="62"/>
      <c r="F59" s="62"/>
      <c r="G59" s="62"/>
      <c r="H59" s="62"/>
      <c r="I59" s="84"/>
      <c r="J59" s="84"/>
      <c r="K59" s="84"/>
      <c r="L59" s="61" t="str">
        <f t="shared" si="0"/>
        <v>NOT CONCLUSIVE</v>
      </c>
      <c r="P59" s="22"/>
    </row>
    <row r="60" spans="2:16" x14ac:dyDescent="0.25">
      <c r="B60" s="59"/>
      <c r="C60" s="60"/>
      <c r="D60" s="62"/>
      <c r="E60" s="62"/>
      <c r="F60" s="62"/>
      <c r="G60" s="62"/>
      <c r="H60" s="62"/>
      <c r="I60" s="84"/>
      <c r="J60" s="84"/>
      <c r="K60" s="84"/>
      <c r="L60" s="61" t="str">
        <f t="shared" si="0"/>
        <v>NOT CONCLUSIVE</v>
      </c>
      <c r="P60" s="22"/>
    </row>
    <row r="61" spans="2:16" x14ac:dyDescent="0.25">
      <c r="B61" s="59"/>
      <c r="C61" s="60"/>
      <c r="D61" s="62"/>
      <c r="E61" s="62"/>
      <c r="F61" s="62"/>
      <c r="G61" s="62"/>
      <c r="H61" s="62"/>
      <c r="I61" s="84"/>
      <c r="J61" s="84"/>
      <c r="K61" s="84"/>
      <c r="L61" s="61" t="str">
        <f t="shared" si="0"/>
        <v>NOT CONCLUSIVE</v>
      </c>
      <c r="P61" s="22"/>
    </row>
    <row r="62" spans="2:16" x14ac:dyDescent="0.25">
      <c r="B62" s="59"/>
      <c r="C62" s="60"/>
      <c r="D62" s="62"/>
      <c r="E62" s="62"/>
      <c r="F62" s="62"/>
      <c r="G62" s="62"/>
      <c r="H62" s="62"/>
      <c r="I62" s="84"/>
      <c r="J62" s="84"/>
      <c r="K62" s="84"/>
      <c r="L62" s="61" t="str">
        <f t="shared" si="0"/>
        <v>NOT CONCLUSIVE</v>
      </c>
      <c r="P62" s="22"/>
    </row>
    <row r="63" spans="2:16" x14ac:dyDescent="0.25">
      <c r="B63" s="59"/>
      <c r="C63" s="60"/>
      <c r="D63" s="62"/>
      <c r="E63" s="62"/>
      <c r="F63" s="62"/>
      <c r="G63" s="62"/>
      <c r="H63" s="62"/>
      <c r="I63" s="84"/>
      <c r="J63" s="84"/>
      <c r="K63" s="84"/>
      <c r="L63" s="61" t="str">
        <f t="shared" si="0"/>
        <v>NOT CONCLUSIVE</v>
      </c>
      <c r="P63" s="22"/>
    </row>
    <row r="64" spans="2:16" x14ac:dyDescent="0.25">
      <c r="B64" s="59"/>
      <c r="C64" s="60"/>
      <c r="D64" s="62"/>
      <c r="E64" s="62"/>
      <c r="F64" s="62"/>
      <c r="G64" s="62"/>
      <c r="H64" s="62"/>
      <c r="I64" s="84"/>
      <c r="J64" s="84"/>
      <c r="K64" s="84"/>
      <c r="L64" s="61" t="str">
        <f t="shared" si="0"/>
        <v>NOT CONCLUSIVE</v>
      </c>
      <c r="P64" s="22"/>
    </row>
    <row r="65" spans="2:16" x14ac:dyDescent="0.25">
      <c r="B65" s="59"/>
      <c r="C65" s="60"/>
      <c r="D65" s="62"/>
      <c r="E65" s="62"/>
      <c r="F65" s="62"/>
      <c r="G65" s="62"/>
      <c r="H65" s="62"/>
      <c r="I65" s="84"/>
      <c r="J65" s="84"/>
      <c r="K65" s="84"/>
      <c r="L65" s="61" t="str">
        <f t="shared" si="0"/>
        <v>NOT CONCLUSIVE</v>
      </c>
      <c r="P65" s="22"/>
    </row>
    <row r="66" spans="2:16" x14ac:dyDescent="0.25">
      <c r="B66" s="59"/>
      <c r="C66" s="60"/>
      <c r="D66" s="62"/>
      <c r="E66" s="62"/>
      <c r="F66" s="62"/>
      <c r="G66" s="62"/>
      <c r="H66" s="62"/>
      <c r="I66" s="84"/>
      <c r="J66" s="84"/>
      <c r="K66" s="84"/>
      <c r="L66" s="61" t="str">
        <f t="shared" si="0"/>
        <v>NOT CONCLUSIVE</v>
      </c>
      <c r="P66" s="22"/>
    </row>
    <row r="67" spans="2:16" x14ac:dyDescent="0.25">
      <c r="B67" s="59"/>
      <c r="C67" s="60"/>
      <c r="D67" s="62"/>
      <c r="E67" s="62"/>
      <c r="F67" s="62"/>
      <c r="G67" s="62"/>
      <c r="H67" s="62"/>
      <c r="I67" s="84"/>
      <c r="J67" s="84"/>
      <c r="K67" s="84"/>
      <c r="L67" s="61" t="str">
        <f t="shared" si="0"/>
        <v>NOT CONCLUSIVE</v>
      </c>
      <c r="P67" s="22"/>
    </row>
    <row r="68" spans="2:16" x14ac:dyDescent="0.25">
      <c r="B68" s="59"/>
      <c r="C68" s="60"/>
      <c r="D68" s="62"/>
      <c r="E68" s="62"/>
      <c r="F68" s="62"/>
      <c r="G68" s="62"/>
      <c r="H68" s="62"/>
      <c r="I68" s="84"/>
      <c r="J68" s="84"/>
      <c r="K68" s="84"/>
      <c r="L68" s="61" t="str">
        <f t="shared" si="0"/>
        <v>NOT CONCLUSIVE</v>
      </c>
      <c r="P68" s="22"/>
    </row>
    <row r="69" spans="2:16" x14ac:dyDescent="0.25">
      <c r="B69" s="59"/>
      <c r="C69" s="60"/>
      <c r="D69" s="62"/>
      <c r="E69" s="62"/>
      <c r="F69" s="62"/>
      <c r="G69" s="62"/>
      <c r="H69" s="62"/>
      <c r="I69" s="84"/>
      <c r="J69" s="84"/>
      <c r="K69" s="84"/>
      <c r="L69" s="61" t="str">
        <f t="shared" ref="L69:L151" si="1">IF(D69&gt;E69,"BEARISH",IF(D69&lt;E69,"BULLISH","NOT CONCLUSIVE"))</f>
        <v>NOT CONCLUSIVE</v>
      </c>
      <c r="P69" s="22"/>
    </row>
    <row r="70" spans="2:16" x14ac:dyDescent="0.25">
      <c r="B70" s="59"/>
      <c r="C70" s="60"/>
      <c r="D70" s="62"/>
      <c r="E70" s="62"/>
      <c r="F70" s="62"/>
      <c r="G70" s="62"/>
      <c r="H70" s="62"/>
      <c r="I70" s="84"/>
      <c r="J70" s="84"/>
      <c r="K70" s="84"/>
      <c r="L70" s="61" t="str">
        <f t="shared" si="1"/>
        <v>NOT CONCLUSIVE</v>
      </c>
      <c r="P70" s="22"/>
    </row>
    <row r="71" spans="2:16" x14ac:dyDescent="0.25">
      <c r="B71" s="59"/>
      <c r="C71" s="60"/>
      <c r="D71" s="62"/>
      <c r="E71" s="62"/>
      <c r="F71" s="62"/>
      <c r="G71" s="62"/>
      <c r="H71" s="62"/>
      <c r="I71" s="84"/>
      <c r="J71" s="84"/>
      <c r="K71" s="84"/>
      <c r="L71" s="61" t="str">
        <f t="shared" si="1"/>
        <v>NOT CONCLUSIVE</v>
      </c>
      <c r="P71" s="22"/>
    </row>
    <row r="72" spans="2:16" x14ac:dyDescent="0.25">
      <c r="B72" s="59"/>
      <c r="C72" s="60"/>
      <c r="D72" s="62"/>
      <c r="E72" s="62"/>
      <c r="F72" s="62"/>
      <c r="G72" s="62"/>
      <c r="H72" s="62"/>
      <c r="I72" s="84"/>
      <c r="J72" s="84"/>
      <c r="K72" s="84"/>
      <c r="L72" s="61" t="str">
        <f t="shared" si="1"/>
        <v>NOT CONCLUSIVE</v>
      </c>
      <c r="P72" s="22"/>
    </row>
    <row r="73" spans="2:16" x14ac:dyDescent="0.25">
      <c r="B73" s="59"/>
      <c r="C73" s="60"/>
      <c r="D73" s="62"/>
      <c r="E73" s="62"/>
      <c r="F73" s="62"/>
      <c r="G73" s="62"/>
      <c r="H73" s="62"/>
      <c r="I73" s="84"/>
      <c r="J73" s="84"/>
      <c r="K73" s="84"/>
      <c r="L73" s="61" t="str">
        <f t="shared" si="1"/>
        <v>NOT CONCLUSIVE</v>
      </c>
      <c r="P73" s="22"/>
    </row>
    <row r="74" spans="2:16" x14ac:dyDescent="0.25">
      <c r="B74" s="59"/>
      <c r="C74" s="60"/>
      <c r="D74" s="62"/>
      <c r="E74" s="62"/>
      <c r="F74" s="62"/>
      <c r="G74" s="62"/>
      <c r="H74" s="62"/>
      <c r="I74" s="84"/>
      <c r="J74" s="84"/>
      <c r="K74" s="84"/>
      <c r="L74" s="61" t="str">
        <f t="shared" si="1"/>
        <v>NOT CONCLUSIVE</v>
      </c>
      <c r="P74" s="22"/>
    </row>
    <row r="75" spans="2:16" x14ac:dyDescent="0.25">
      <c r="B75" s="59"/>
      <c r="C75" s="60"/>
      <c r="D75" s="62"/>
      <c r="E75" s="62"/>
      <c r="F75" s="62"/>
      <c r="G75" s="62"/>
      <c r="H75" s="62"/>
      <c r="I75" s="84"/>
      <c r="J75" s="84"/>
      <c r="K75" s="84"/>
      <c r="L75" s="61" t="str">
        <f t="shared" si="1"/>
        <v>NOT CONCLUSIVE</v>
      </c>
      <c r="P75" s="22"/>
    </row>
    <row r="76" spans="2:16" x14ac:dyDescent="0.25">
      <c r="B76" s="59"/>
      <c r="C76" s="60"/>
      <c r="D76" s="62"/>
      <c r="E76" s="62"/>
      <c r="F76" s="62"/>
      <c r="G76" s="62"/>
      <c r="H76" s="62"/>
      <c r="I76" s="84"/>
      <c r="J76" s="84"/>
      <c r="K76" s="84"/>
      <c r="L76" s="61" t="str">
        <f t="shared" si="1"/>
        <v>NOT CONCLUSIVE</v>
      </c>
    </row>
    <row r="77" spans="2:16" x14ac:dyDescent="0.25">
      <c r="B77" s="59"/>
      <c r="C77" s="60"/>
      <c r="D77" s="62"/>
      <c r="E77" s="62"/>
      <c r="F77" s="62"/>
      <c r="G77" s="62"/>
      <c r="H77" s="62"/>
      <c r="I77" s="84"/>
      <c r="J77" s="84"/>
      <c r="K77" s="84"/>
      <c r="L77" s="61" t="str">
        <f t="shared" si="1"/>
        <v>NOT CONCLUSIVE</v>
      </c>
    </row>
    <row r="78" spans="2:16" x14ac:dyDescent="0.25">
      <c r="B78" s="59"/>
      <c r="C78" s="60"/>
      <c r="D78" s="62"/>
      <c r="E78" s="62"/>
      <c r="F78" s="62"/>
      <c r="G78" s="62"/>
      <c r="H78" s="62"/>
      <c r="I78" s="84"/>
      <c r="J78" s="84"/>
      <c r="K78" s="84"/>
      <c r="L78" s="61" t="str">
        <f t="shared" si="1"/>
        <v>NOT CONCLUSIVE</v>
      </c>
    </row>
    <row r="79" spans="2:16" x14ac:dyDescent="0.25">
      <c r="B79" s="59"/>
      <c r="C79" s="60"/>
      <c r="D79" s="62"/>
      <c r="E79" s="62"/>
      <c r="F79" s="62"/>
      <c r="G79" s="62"/>
      <c r="H79" s="62"/>
      <c r="I79" s="84"/>
      <c r="J79" s="84"/>
      <c r="K79" s="84"/>
      <c r="L79" s="61" t="str">
        <f t="shared" si="1"/>
        <v>NOT CONCLUSIVE</v>
      </c>
    </row>
    <row r="80" spans="2:16" x14ac:dyDescent="0.25">
      <c r="B80" s="59"/>
      <c r="C80" s="60"/>
      <c r="D80" s="62"/>
      <c r="E80" s="62"/>
      <c r="F80" s="62"/>
      <c r="G80" s="62"/>
      <c r="H80" s="62"/>
      <c r="I80" s="84"/>
      <c r="J80" s="84"/>
      <c r="K80" s="84"/>
      <c r="L80" s="61" t="str">
        <f t="shared" si="1"/>
        <v>NOT CONCLUSIVE</v>
      </c>
    </row>
    <row r="81" spans="2:12" x14ac:dyDescent="0.25">
      <c r="B81" s="59"/>
      <c r="C81" s="60"/>
      <c r="D81" s="62"/>
      <c r="E81" s="62"/>
      <c r="F81" s="62"/>
      <c r="G81" s="62"/>
      <c r="H81" s="62"/>
      <c r="I81" s="84"/>
      <c r="J81" s="84"/>
      <c r="K81" s="84"/>
      <c r="L81" s="61" t="str">
        <f t="shared" si="1"/>
        <v>NOT CONCLUSIVE</v>
      </c>
    </row>
    <row r="82" spans="2:12" x14ac:dyDescent="0.25">
      <c r="B82" s="59"/>
      <c r="C82" s="60"/>
      <c r="D82" s="62"/>
      <c r="E82" s="62"/>
      <c r="F82" s="62"/>
      <c r="G82" s="62"/>
      <c r="H82" s="62"/>
      <c r="I82" s="84"/>
      <c r="J82" s="84"/>
      <c r="K82" s="84"/>
      <c r="L82" s="61" t="str">
        <f t="shared" si="1"/>
        <v>NOT CONCLUSIVE</v>
      </c>
    </row>
    <row r="83" spans="2:12" x14ac:dyDescent="0.25">
      <c r="B83" s="59"/>
      <c r="C83" s="60"/>
      <c r="D83" s="62"/>
      <c r="E83" s="62"/>
      <c r="F83" s="62"/>
      <c r="G83" s="62"/>
      <c r="H83" s="62"/>
      <c r="I83" s="84"/>
      <c r="J83" s="84"/>
      <c r="K83" s="84"/>
      <c r="L83" s="61" t="str">
        <f t="shared" si="1"/>
        <v>NOT CONCLUSIVE</v>
      </c>
    </row>
    <row r="84" spans="2:12" x14ac:dyDescent="0.25">
      <c r="B84" s="59"/>
      <c r="C84" s="60"/>
      <c r="D84" s="62"/>
      <c r="E84" s="62"/>
      <c r="F84" s="62"/>
      <c r="G84" s="62"/>
      <c r="H84" s="62"/>
      <c r="I84" s="84"/>
      <c r="J84" s="84"/>
      <c r="K84" s="84"/>
      <c r="L84" s="61" t="str">
        <f t="shared" si="1"/>
        <v>NOT CONCLUSIVE</v>
      </c>
    </row>
    <row r="85" spans="2:12" x14ac:dyDescent="0.25">
      <c r="B85" s="59"/>
      <c r="C85" s="60"/>
      <c r="D85" s="62"/>
      <c r="E85" s="62"/>
      <c r="F85" s="62"/>
      <c r="G85" s="62"/>
      <c r="H85" s="62"/>
      <c r="I85" s="84"/>
      <c r="J85" s="84"/>
      <c r="K85" s="84"/>
      <c r="L85" s="61" t="str">
        <f t="shared" si="1"/>
        <v>NOT CONCLUSIVE</v>
      </c>
    </row>
    <row r="86" spans="2:12" x14ac:dyDescent="0.25">
      <c r="B86" s="59"/>
      <c r="C86" s="60"/>
      <c r="D86" s="62"/>
      <c r="E86" s="62"/>
      <c r="F86" s="62"/>
      <c r="G86" s="62"/>
      <c r="H86" s="62"/>
      <c r="I86" s="84"/>
      <c r="J86" s="84"/>
      <c r="K86" s="84"/>
      <c r="L86" s="61" t="str">
        <f t="shared" si="1"/>
        <v>NOT CONCLUSIVE</v>
      </c>
    </row>
    <row r="87" spans="2:12" x14ac:dyDescent="0.25">
      <c r="B87" s="59"/>
      <c r="C87" s="60"/>
      <c r="D87" s="62"/>
      <c r="E87" s="62"/>
      <c r="F87" s="62"/>
      <c r="G87" s="62"/>
      <c r="H87" s="62"/>
      <c r="I87" s="84"/>
      <c r="J87" s="84"/>
      <c r="K87" s="84"/>
      <c r="L87" s="61" t="str">
        <f t="shared" si="1"/>
        <v>NOT CONCLUSIVE</v>
      </c>
    </row>
    <row r="88" spans="2:12" x14ac:dyDescent="0.25">
      <c r="B88" s="59"/>
      <c r="C88" s="60"/>
      <c r="D88" s="62"/>
      <c r="E88" s="62"/>
      <c r="F88" s="62"/>
      <c r="G88" s="62"/>
      <c r="H88" s="62"/>
      <c r="I88" s="84"/>
      <c r="J88" s="84"/>
      <c r="K88" s="84"/>
      <c r="L88" s="61" t="str">
        <f t="shared" si="1"/>
        <v>NOT CONCLUSIVE</v>
      </c>
    </row>
    <row r="89" spans="2:12" x14ac:dyDescent="0.25">
      <c r="B89" s="59"/>
      <c r="C89" s="60"/>
      <c r="D89" s="62"/>
      <c r="E89" s="62"/>
      <c r="F89" s="62"/>
      <c r="G89" s="62"/>
      <c r="H89" s="62"/>
      <c r="I89" s="84"/>
      <c r="J89" s="84"/>
      <c r="K89" s="84"/>
      <c r="L89" s="61" t="str">
        <f t="shared" si="1"/>
        <v>NOT CONCLUSIVE</v>
      </c>
    </row>
    <row r="90" spans="2:12" x14ac:dyDescent="0.25">
      <c r="B90" s="59"/>
      <c r="C90" s="60"/>
      <c r="D90" s="62"/>
      <c r="E90" s="62"/>
      <c r="F90" s="62"/>
      <c r="G90" s="62"/>
      <c r="H90" s="62"/>
      <c r="I90" s="84"/>
      <c r="J90" s="84"/>
      <c r="K90" s="84"/>
      <c r="L90" s="61" t="str">
        <f t="shared" si="1"/>
        <v>NOT CONCLUSIVE</v>
      </c>
    </row>
    <row r="91" spans="2:12" x14ac:dyDescent="0.25">
      <c r="B91" s="59"/>
      <c r="C91" s="60"/>
      <c r="D91" s="62"/>
      <c r="E91" s="62"/>
      <c r="F91" s="62"/>
      <c r="G91" s="62"/>
      <c r="H91" s="62"/>
      <c r="I91" s="84"/>
      <c r="J91" s="84"/>
      <c r="K91" s="84"/>
      <c r="L91" s="61" t="str">
        <f t="shared" si="1"/>
        <v>NOT CONCLUSIVE</v>
      </c>
    </row>
    <row r="92" spans="2:12" x14ac:dyDescent="0.25">
      <c r="B92" s="59"/>
      <c r="C92" s="60"/>
      <c r="D92" s="62"/>
      <c r="E92" s="62"/>
      <c r="F92" s="62"/>
      <c r="G92" s="62"/>
      <c r="H92" s="62"/>
      <c r="I92" s="84"/>
      <c r="J92" s="84"/>
      <c r="K92" s="84"/>
      <c r="L92" s="61" t="str">
        <f t="shared" si="1"/>
        <v>NOT CONCLUSIVE</v>
      </c>
    </row>
    <row r="93" spans="2:12" x14ac:dyDescent="0.25">
      <c r="B93" s="59"/>
      <c r="C93" s="60"/>
      <c r="D93" s="62"/>
      <c r="E93" s="62"/>
      <c r="F93" s="62"/>
      <c r="G93" s="62"/>
      <c r="H93" s="62"/>
      <c r="I93" s="84"/>
      <c r="J93" s="84"/>
      <c r="K93" s="84"/>
      <c r="L93" s="61" t="str">
        <f t="shared" si="1"/>
        <v>NOT CONCLUSIVE</v>
      </c>
    </row>
    <row r="94" spans="2:12" x14ac:dyDescent="0.25">
      <c r="B94" s="59"/>
      <c r="C94" s="60"/>
      <c r="D94" s="62"/>
      <c r="E94" s="62"/>
      <c r="F94" s="62"/>
      <c r="G94" s="62"/>
      <c r="H94" s="62"/>
      <c r="I94" s="84"/>
      <c r="J94" s="84"/>
      <c r="K94" s="84"/>
      <c r="L94" s="61" t="str">
        <f t="shared" si="1"/>
        <v>NOT CONCLUSIVE</v>
      </c>
    </row>
    <row r="95" spans="2:12" x14ac:dyDescent="0.25">
      <c r="B95" s="59"/>
      <c r="C95" s="60"/>
      <c r="D95" s="62"/>
      <c r="E95" s="62"/>
      <c r="F95" s="62"/>
      <c r="G95" s="62"/>
      <c r="H95" s="62"/>
      <c r="I95" s="84"/>
      <c r="J95" s="84"/>
      <c r="K95" s="84"/>
      <c r="L95" s="61" t="str">
        <f t="shared" si="1"/>
        <v>NOT CONCLUSIVE</v>
      </c>
    </row>
    <row r="96" spans="2:12" x14ac:dyDescent="0.25">
      <c r="B96" s="59"/>
      <c r="C96" s="60"/>
      <c r="D96" s="62"/>
      <c r="E96" s="62"/>
      <c r="F96" s="62"/>
      <c r="G96" s="62"/>
      <c r="H96" s="62"/>
      <c r="I96" s="84"/>
      <c r="J96" s="84"/>
      <c r="K96" s="84"/>
      <c r="L96" s="61" t="str">
        <f t="shared" si="1"/>
        <v>NOT CONCLUSIVE</v>
      </c>
    </row>
    <row r="97" spans="2:12" x14ac:dyDescent="0.25">
      <c r="B97" s="59"/>
      <c r="C97" s="60"/>
      <c r="D97" s="62"/>
      <c r="E97" s="62"/>
      <c r="F97" s="62"/>
      <c r="G97" s="62"/>
      <c r="H97" s="62"/>
      <c r="I97" s="84"/>
      <c r="J97" s="84"/>
      <c r="K97" s="84"/>
      <c r="L97" s="61" t="str">
        <f t="shared" si="1"/>
        <v>NOT CONCLUSIVE</v>
      </c>
    </row>
    <row r="98" spans="2:12" x14ac:dyDescent="0.25">
      <c r="B98" s="59"/>
      <c r="C98" s="60"/>
      <c r="D98" s="62"/>
      <c r="E98" s="62"/>
      <c r="F98" s="62"/>
      <c r="G98" s="62"/>
      <c r="H98" s="62"/>
      <c r="I98" s="84"/>
      <c r="J98" s="84"/>
      <c r="K98" s="84"/>
      <c r="L98" s="61" t="str">
        <f t="shared" si="1"/>
        <v>NOT CONCLUSIVE</v>
      </c>
    </row>
    <row r="99" spans="2:12" x14ac:dyDescent="0.25">
      <c r="B99" s="59"/>
      <c r="C99" s="60"/>
      <c r="D99" s="62"/>
      <c r="E99" s="62"/>
      <c r="F99" s="62"/>
      <c r="G99" s="62"/>
      <c r="H99" s="62"/>
      <c r="I99" s="84"/>
      <c r="J99" s="84"/>
      <c r="K99" s="84"/>
      <c r="L99" s="61" t="str">
        <f t="shared" si="1"/>
        <v>NOT CONCLUSIVE</v>
      </c>
    </row>
    <row r="100" spans="2:12" x14ac:dyDescent="0.25">
      <c r="B100" s="59"/>
      <c r="C100" s="60"/>
      <c r="D100" s="62"/>
      <c r="E100" s="62"/>
      <c r="F100" s="62"/>
      <c r="G100" s="62"/>
      <c r="H100" s="62"/>
      <c r="I100" s="84"/>
      <c r="J100" s="84"/>
      <c r="K100" s="84"/>
      <c r="L100" s="61" t="str">
        <f t="shared" si="1"/>
        <v>NOT CONCLUSIVE</v>
      </c>
    </row>
    <row r="101" spans="2:12" x14ac:dyDescent="0.25">
      <c r="B101" s="59">
        <v>44783.549857175924</v>
      </c>
      <c r="C101" s="60">
        <v>17506.599999999999</v>
      </c>
      <c r="D101" s="62">
        <v>19745600</v>
      </c>
      <c r="E101" s="62">
        <v>12236950</v>
      </c>
      <c r="F101" s="62">
        <v>11927770</v>
      </c>
      <c r="G101" s="62">
        <v>11107242</v>
      </c>
      <c r="H101" s="62">
        <v>-7508650</v>
      </c>
      <c r="I101" s="84">
        <v>23.44</v>
      </c>
      <c r="J101" s="84">
        <v>23.43</v>
      </c>
      <c r="K101" s="84">
        <v>1.1599999999999999</v>
      </c>
      <c r="L101" s="61" t="str">
        <f t="shared" si="1"/>
        <v>BEARISH</v>
      </c>
    </row>
    <row r="102" spans="2:12" x14ac:dyDescent="0.25">
      <c r="B102" s="59">
        <v>44783.549859837964</v>
      </c>
      <c r="C102" s="60">
        <v>17506.599999999999</v>
      </c>
      <c r="D102" s="62">
        <v>19745600</v>
      </c>
      <c r="E102" s="62">
        <v>12236950</v>
      </c>
      <c r="F102" s="62">
        <v>11927770</v>
      </c>
      <c r="G102" s="62">
        <v>11107242</v>
      </c>
      <c r="H102" s="62">
        <v>-7508650</v>
      </c>
      <c r="I102" s="84">
        <v>23.44</v>
      </c>
      <c r="J102" s="84">
        <v>23.43</v>
      </c>
      <c r="K102" s="84">
        <v>1.1599999999999999</v>
      </c>
      <c r="L102" s="61" t="str">
        <f t="shared" si="1"/>
        <v>BEARISH</v>
      </c>
    </row>
    <row r="103" spans="2:12" x14ac:dyDescent="0.25">
      <c r="B103" s="59">
        <v>44783.549861574073</v>
      </c>
      <c r="C103" s="60">
        <v>17506.599999999999</v>
      </c>
      <c r="D103" s="62">
        <v>19745600</v>
      </c>
      <c r="E103" s="62">
        <v>12236950</v>
      </c>
      <c r="F103" s="62">
        <v>11927770</v>
      </c>
      <c r="G103" s="62">
        <v>11107242</v>
      </c>
      <c r="H103" s="62">
        <v>-7508650</v>
      </c>
      <c r="I103" s="84">
        <v>23.44</v>
      </c>
      <c r="J103" s="84">
        <v>23.43</v>
      </c>
      <c r="K103" s="84">
        <v>1.1599999999999999</v>
      </c>
      <c r="L103" s="61" t="str">
        <f t="shared" si="1"/>
        <v>BEARISH</v>
      </c>
    </row>
    <row r="104" spans="2:12" x14ac:dyDescent="0.25">
      <c r="B104" s="59">
        <v>44783.549863541666</v>
      </c>
      <c r="C104" s="60">
        <v>17506.599999999999</v>
      </c>
      <c r="D104" s="62">
        <v>19745600</v>
      </c>
      <c r="E104" s="62">
        <v>12236950</v>
      </c>
      <c r="F104" s="62">
        <v>11927770</v>
      </c>
      <c r="G104" s="62">
        <v>11107242</v>
      </c>
      <c r="H104" s="62">
        <v>-7508650</v>
      </c>
      <c r="I104" s="84">
        <v>23.44</v>
      </c>
      <c r="J104" s="84">
        <v>23.43</v>
      </c>
      <c r="K104" s="84">
        <v>1.1599999999999999</v>
      </c>
      <c r="L104" s="61" t="str">
        <f t="shared" si="1"/>
        <v>BEARISH</v>
      </c>
    </row>
    <row r="105" spans="2:12" x14ac:dyDescent="0.25">
      <c r="B105" s="59">
        <v>44783.549865393521</v>
      </c>
      <c r="C105" s="60">
        <v>17506.599999999999</v>
      </c>
      <c r="D105" s="62">
        <v>19745600</v>
      </c>
      <c r="E105" s="62">
        <v>12236950</v>
      </c>
      <c r="F105" s="62">
        <v>11927770</v>
      </c>
      <c r="G105" s="62">
        <v>11107242</v>
      </c>
      <c r="H105" s="62">
        <v>-7508650</v>
      </c>
      <c r="I105" s="84">
        <v>23.44</v>
      </c>
      <c r="J105" s="84">
        <v>23.43</v>
      </c>
      <c r="K105" s="84">
        <v>1.1599999999999999</v>
      </c>
      <c r="L105" s="61" t="str">
        <f t="shared" si="1"/>
        <v>BEARISH</v>
      </c>
    </row>
    <row r="106" spans="2:12" x14ac:dyDescent="0.25">
      <c r="B106" s="59">
        <v>44783.555895138888</v>
      </c>
      <c r="C106" s="60">
        <v>17504.55</v>
      </c>
      <c r="D106" s="62">
        <v>20739600</v>
      </c>
      <c r="E106" s="62">
        <v>12200650</v>
      </c>
      <c r="F106" s="62">
        <v>12383003</v>
      </c>
      <c r="G106" s="62">
        <v>11565620</v>
      </c>
      <c r="H106" s="62">
        <v>-8538950</v>
      </c>
      <c r="I106" s="84">
        <v>23.41</v>
      </c>
      <c r="J106" s="84">
        <v>23.1</v>
      </c>
      <c r="K106" s="84">
        <v>1.1299999999999999</v>
      </c>
      <c r="L106" s="61" t="str">
        <f t="shared" si="1"/>
        <v>BEARISH</v>
      </c>
    </row>
    <row r="107" spans="2:12" x14ac:dyDescent="0.25">
      <c r="B107" s="59">
        <v>44783.556811689814</v>
      </c>
      <c r="C107" s="60">
        <v>17504.55</v>
      </c>
      <c r="D107" s="62">
        <v>20739600</v>
      </c>
      <c r="E107" s="62">
        <v>12200650</v>
      </c>
      <c r="F107" s="62">
        <v>12383003</v>
      </c>
      <c r="G107" s="62">
        <v>11565620</v>
      </c>
      <c r="H107" s="62">
        <v>-8538950</v>
      </c>
      <c r="I107" s="84">
        <v>23.41</v>
      </c>
      <c r="J107" s="84">
        <v>23.1</v>
      </c>
      <c r="K107" s="84">
        <v>1.1299999999999999</v>
      </c>
      <c r="L107" s="61" t="str">
        <f t="shared" si="1"/>
        <v>BEARISH</v>
      </c>
    </row>
    <row r="108" spans="2:12" x14ac:dyDescent="0.25">
      <c r="B108" s="59">
        <v>44783.556816435186</v>
      </c>
      <c r="C108" s="60">
        <v>17504.55</v>
      </c>
      <c r="D108" s="62">
        <v>20739600</v>
      </c>
      <c r="E108" s="62">
        <v>12200650</v>
      </c>
      <c r="F108" s="62">
        <v>12383003</v>
      </c>
      <c r="G108" s="62">
        <v>11565620</v>
      </c>
      <c r="H108" s="62">
        <v>-8538950</v>
      </c>
      <c r="I108" s="84">
        <v>23.41</v>
      </c>
      <c r="J108" s="84">
        <v>23.1</v>
      </c>
      <c r="K108" s="84">
        <v>1.1299999999999999</v>
      </c>
      <c r="L108" s="61" t="str">
        <f t="shared" si="1"/>
        <v>BEARISH</v>
      </c>
    </row>
    <row r="109" spans="2:12" x14ac:dyDescent="0.25">
      <c r="B109" s="59">
        <v>44783.556820254627</v>
      </c>
      <c r="C109" s="60">
        <v>17504.55</v>
      </c>
      <c r="D109" s="62">
        <v>20739600</v>
      </c>
      <c r="E109" s="62">
        <v>12200650</v>
      </c>
      <c r="F109" s="62">
        <v>12383003</v>
      </c>
      <c r="G109" s="62">
        <v>11565620</v>
      </c>
      <c r="H109" s="62">
        <v>-8538950</v>
      </c>
      <c r="I109" s="84">
        <v>23.41</v>
      </c>
      <c r="J109" s="84">
        <v>23.1</v>
      </c>
      <c r="K109" s="84">
        <v>1.1299999999999999</v>
      </c>
      <c r="L109" s="61" t="str">
        <f t="shared" si="1"/>
        <v>BEARISH</v>
      </c>
    </row>
    <row r="110" spans="2:12" x14ac:dyDescent="0.25">
      <c r="B110" s="59">
        <v>44783.55682395833</v>
      </c>
      <c r="C110" s="60">
        <v>17504.55</v>
      </c>
      <c r="D110" s="62">
        <v>20739600</v>
      </c>
      <c r="E110" s="62">
        <v>12200650</v>
      </c>
      <c r="F110" s="62">
        <v>12383003</v>
      </c>
      <c r="G110" s="62">
        <v>11565620</v>
      </c>
      <c r="H110" s="62">
        <v>-8538950</v>
      </c>
      <c r="I110" s="84">
        <v>23.41</v>
      </c>
      <c r="J110" s="84">
        <v>23.1</v>
      </c>
      <c r="K110" s="84">
        <v>1.1299999999999999</v>
      </c>
      <c r="L110" s="61" t="str">
        <f t="shared" si="1"/>
        <v>BEARISH</v>
      </c>
    </row>
    <row r="111" spans="2:12" x14ac:dyDescent="0.25">
      <c r="B111" s="59">
        <v>44783.556828009256</v>
      </c>
      <c r="C111" s="60">
        <v>17504.55</v>
      </c>
      <c r="D111" s="62">
        <v>20739600</v>
      </c>
      <c r="E111" s="62">
        <v>12200650</v>
      </c>
      <c r="F111" s="62">
        <v>12383003</v>
      </c>
      <c r="G111" s="62">
        <v>11565620</v>
      </c>
      <c r="H111" s="62">
        <v>-8538950</v>
      </c>
      <c r="I111" s="84">
        <v>23.41</v>
      </c>
      <c r="J111" s="84">
        <v>23.1</v>
      </c>
      <c r="K111" s="84">
        <v>1.1299999999999999</v>
      </c>
      <c r="L111" s="61" t="str">
        <f t="shared" si="1"/>
        <v>BEARISH</v>
      </c>
    </row>
    <row r="112" spans="2:12" x14ac:dyDescent="0.25">
      <c r="B112" s="59">
        <v>44783.556831250004</v>
      </c>
      <c r="C112" s="60">
        <v>17504.55</v>
      </c>
      <c r="D112" s="62">
        <v>20739600</v>
      </c>
      <c r="E112" s="62">
        <v>12200650</v>
      </c>
      <c r="F112" s="62">
        <v>12383003</v>
      </c>
      <c r="G112" s="62">
        <v>11565620</v>
      </c>
      <c r="H112" s="62">
        <v>-8538950</v>
      </c>
      <c r="I112" s="84">
        <v>23.41</v>
      </c>
      <c r="J112" s="84">
        <v>23.1</v>
      </c>
      <c r="K112" s="84">
        <v>1.1299999999999999</v>
      </c>
      <c r="L112" s="61" t="str">
        <f t="shared" si="1"/>
        <v>BEARISH</v>
      </c>
    </row>
    <row r="113" spans="2:12" x14ac:dyDescent="0.25">
      <c r="B113" s="59">
        <v>44783.556834953706</v>
      </c>
      <c r="C113" s="60">
        <v>17504.55</v>
      </c>
      <c r="D113" s="62">
        <v>20739600</v>
      </c>
      <c r="E113" s="62">
        <v>12200650</v>
      </c>
      <c r="F113" s="62">
        <v>12383003</v>
      </c>
      <c r="G113" s="62">
        <v>11565620</v>
      </c>
      <c r="H113" s="62">
        <v>-8538950</v>
      </c>
      <c r="I113" s="84">
        <v>23.41</v>
      </c>
      <c r="J113" s="84">
        <v>23.1</v>
      </c>
      <c r="K113" s="84">
        <v>1.1299999999999999</v>
      </c>
      <c r="L113" s="61" t="str">
        <f t="shared" si="1"/>
        <v>BEARISH</v>
      </c>
    </row>
    <row r="114" spans="2:12" x14ac:dyDescent="0.25">
      <c r="B114" s="59">
        <v>44783.55684016204</v>
      </c>
      <c r="C114" s="60">
        <v>17504.55</v>
      </c>
      <c r="D114" s="62">
        <v>20739600</v>
      </c>
      <c r="E114" s="62">
        <v>12200650</v>
      </c>
      <c r="F114" s="62">
        <v>12383003</v>
      </c>
      <c r="G114" s="62">
        <v>11565620</v>
      </c>
      <c r="H114" s="62">
        <v>-8538950</v>
      </c>
      <c r="I114" s="84">
        <v>23.41</v>
      </c>
      <c r="J114" s="84">
        <v>23.1</v>
      </c>
      <c r="K114" s="84">
        <v>1.1299999999999999</v>
      </c>
      <c r="L114" s="61" t="str">
        <f t="shared" si="1"/>
        <v>BEARISH</v>
      </c>
    </row>
    <row r="115" spans="2:12" x14ac:dyDescent="0.25">
      <c r="B115" s="59">
        <v>44783.563028819444</v>
      </c>
      <c r="C115" s="60">
        <v>17487.5</v>
      </c>
      <c r="D115" s="62">
        <v>20867200</v>
      </c>
      <c r="E115" s="62">
        <v>12133350</v>
      </c>
      <c r="F115" s="62">
        <v>12755313</v>
      </c>
      <c r="G115" s="62">
        <v>11953281</v>
      </c>
      <c r="H115" s="62">
        <v>-8733850</v>
      </c>
      <c r="I115" s="84">
        <v>23.12</v>
      </c>
      <c r="J115" s="84">
        <v>23.22</v>
      </c>
      <c r="K115" s="84">
        <v>1.1200000000000001</v>
      </c>
      <c r="L115" s="61" t="str">
        <f t="shared" si="1"/>
        <v>BEARISH</v>
      </c>
    </row>
    <row r="116" spans="2:12" x14ac:dyDescent="0.25">
      <c r="B116" s="59">
        <v>44783.563759606484</v>
      </c>
      <c r="C116" s="60">
        <v>17487.5</v>
      </c>
      <c r="D116" s="62">
        <v>20867200</v>
      </c>
      <c r="E116" s="62">
        <v>12133350</v>
      </c>
      <c r="F116" s="62">
        <v>12755313</v>
      </c>
      <c r="G116" s="62">
        <v>11953281</v>
      </c>
      <c r="H116" s="62">
        <v>-8733850</v>
      </c>
      <c r="I116" s="84">
        <v>23.12</v>
      </c>
      <c r="J116" s="84">
        <v>23.22</v>
      </c>
      <c r="K116" s="84">
        <v>1.1200000000000001</v>
      </c>
      <c r="L116" s="61" t="str">
        <f t="shared" si="1"/>
        <v>BEARISH</v>
      </c>
    </row>
    <row r="117" spans="2:12" x14ac:dyDescent="0.25">
      <c r="B117" s="59">
        <v>44783.563761805555</v>
      </c>
      <c r="C117" s="60">
        <v>17487.5</v>
      </c>
      <c r="D117" s="62">
        <v>20867200</v>
      </c>
      <c r="E117" s="62">
        <v>12133350</v>
      </c>
      <c r="F117" s="62">
        <v>12755313</v>
      </c>
      <c r="G117" s="62">
        <v>11953281</v>
      </c>
      <c r="H117" s="62">
        <v>-8733850</v>
      </c>
      <c r="I117" s="84">
        <v>23.12</v>
      </c>
      <c r="J117" s="84">
        <v>23.22</v>
      </c>
      <c r="K117" s="84">
        <v>1.1200000000000001</v>
      </c>
      <c r="L117" s="61" t="str">
        <f t="shared" si="1"/>
        <v>BEARISH</v>
      </c>
    </row>
    <row r="118" spans="2:12" x14ac:dyDescent="0.25">
      <c r="B118" s="59">
        <v>44783.563763773149</v>
      </c>
      <c r="C118" s="60">
        <v>17487.5</v>
      </c>
      <c r="D118" s="62">
        <v>20867200</v>
      </c>
      <c r="E118" s="62">
        <v>12133350</v>
      </c>
      <c r="F118" s="62">
        <v>12755313</v>
      </c>
      <c r="G118" s="62">
        <v>11953281</v>
      </c>
      <c r="H118" s="62">
        <v>-8733850</v>
      </c>
      <c r="I118" s="84">
        <v>23.12</v>
      </c>
      <c r="J118" s="84">
        <v>23.22</v>
      </c>
      <c r="K118" s="84">
        <v>1.1200000000000001</v>
      </c>
      <c r="L118" s="61" t="str">
        <f t="shared" si="1"/>
        <v>BEARISH</v>
      </c>
    </row>
    <row r="119" spans="2:12" x14ac:dyDescent="0.25">
      <c r="B119" s="59">
        <v>44783.563765856481</v>
      </c>
      <c r="C119" s="60">
        <v>17487.5</v>
      </c>
      <c r="D119" s="62">
        <v>20867200</v>
      </c>
      <c r="E119" s="62">
        <v>12133350</v>
      </c>
      <c r="F119" s="62">
        <v>12755313</v>
      </c>
      <c r="G119" s="62">
        <v>11953281</v>
      </c>
      <c r="H119" s="62">
        <v>-8733850</v>
      </c>
      <c r="I119" s="84">
        <v>23.12</v>
      </c>
      <c r="J119" s="84">
        <v>23.22</v>
      </c>
      <c r="K119" s="84">
        <v>1.1200000000000001</v>
      </c>
      <c r="L119" s="61" t="str">
        <f t="shared" si="1"/>
        <v>BEARISH</v>
      </c>
    </row>
    <row r="120" spans="2:12" x14ac:dyDescent="0.25">
      <c r="B120" s="59">
        <v>44783.56376921296</v>
      </c>
      <c r="C120" s="60">
        <v>17487.5</v>
      </c>
      <c r="D120" s="62">
        <v>20867200</v>
      </c>
      <c r="E120" s="62">
        <v>12133350</v>
      </c>
      <c r="F120" s="62">
        <v>12755313</v>
      </c>
      <c r="G120" s="62">
        <v>11953281</v>
      </c>
      <c r="H120" s="62">
        <v>-8733850</v>
      </c>
      <c r="I120" s="84">
        <v>23.12</v>
      </c>
      <c r="J120" s="84">
        <v>23.22</v>
      </c>
      <c r="K120" s="84">
        <v>1.1200000000000001</v>
      </c>
      <c r="L120" s="61" t="str">
        <f t="shared" si="1"/>
        <v>BEARISH</v>
      </c>
    </row>
    <row r="121" spans="2:12" x14ac:dyDescent="0.25">
      <c r="B121" s="59">
        <v>44783.563794560185</v>
      </c>
      <c r="C121" s="60">
        <v>17487.5</v>
      </c>
      <c r="D121" s="62">
        <v>20867200</v>
      </c>
      <c r="E121" s="62">
        <v>12133350</v>
      </c>
      <c r="F121" s="62">
        <v>12755313</v>
      </c>
      <c r="G121" s="62">
        <v>11953281</v>
      </c>
      <c r="H121" s="62">
        <v>-8733850</v>
      </c>
      <c r="I121" s="84">
        <v>23.12</v>
      </c>
      <c r="J121" s="84">
        <v>23.22</v>
      </c>
      <c r="K121" s="84">
        <v>1.1200000000000001</v>
      </c>
      <c r="L121" s="61" t="str">
        <f t="shared" si="1"/>
        <v>BEARISH</v>
      </c>
    </row>
    <row r="122" spans="2:12" x14ac:dyDescent="0.25">
      <c r="B122" s="59">
        <v>44783.56379803241</v>
      </c>
      <c r="C122" s="60">
        <v>17487.5</v>
      </c>
      <c r="D122" s="62">
        <v>20867200</v>
      </c>
      <c r="E122" s="62">
        <v>12133350</v>
      </c>
      <c r="F122" s="62">
        <v>12755313</v>
      </c>
      <c r="G122" s="62">
        <v>11953281</v>
      </c>
      <c r="H122" s="62">
        <v>-8733850</v>
      </c>
      <c r="I122" s="84">
        <v>23.12</v>
      </c>
      <c r="J122" s="84">
        <v>23.22</v>
      </c>
      <c r="K122" s="84">
        <v>1.1200000000000001</v>
      </c>
      <c r="L122" s="61" t="str">
        <f t="shared" si="1"/>
        <v>BEARISH</v>
      </c>
    </row>
    <row r="123" spans="2:12" x14ac:dyDescent="0.25">
      <c r="B123" s="59">
        <v>44783.563800925927</v>
      </c>
      <c r="C123" s="60">
        <v>17487.5</v>
      </c>
      <c r="D123" s="62">
        <v>20867200</v>
      </c>
      <c r="E123" s="62">
        <v>12133350</v>
      </c>
      <c r="F123" s="62">
        <v>12755313</v>
      </c>
      <c r="G123" s="62">
        <v>11953281</v>
      </c>
      <c r="H123" s="62">
        <v>-8733850</v>
      </c>
      <c r="I123" s="84">
        <v>23.12</v>
      </c>
      <c r="J123" s="84">
        <v>23.22</v>
      </c>
      <c r="K123" s="84">
        <v>1.1200000000000001</v>
      </c>
      <c r="L123" s="61" t="str">
        <f t="shared" si="1"/>
        <v>BEARISH</v>
      </c>
    </row>
    <row r="124" spans="2:12" x14ac:dyDescent="0.25">
      <c r="B124" s="59">
        <v>44783.570370370369</v>
      </c>
      <c r="C124" s="60">
        <v>17492.8</v>
      </c>
      <c r="D124" s="62">
        <v>21614650</v>
      </c>
      <c r="E124" s="62">
        <v>12107300</v>
      </c>
      <c r="F124" s="62">
        <v>13077204</v>
      </c>
      <c r="G124" s="62">
        <v>12260068</v>
      </c>
      <c r="H124" s="62">
        <v>-9507350</v>
      </c>
      <c r="I124" s="84">
        <v>23.61</v>
      </c>
      <c r="J124" s="84">
        <v>22.98</v>
      </c>
      <c r="K124" s="84">
        <v>1.1000000000000001</v>
      </c>
      <c r="L124" s="61" t="str">
        <f t="shared" si="1"/>
        <v>BEARISH</v>
      </c>
    </row>
    <row r="125" spans="2:12" x14ac:dyDescent="0.25">
      <c r="B125" s="59">
        <v>44783.570707754632</v>
      </c>
      <c r="C125" s="60">
        <v>17492.8</v>
      </c>
      <c r="D125" s="62">
        <v>21614650</v>
      </c>
      <c r="E125" s="62">
        <v>12107300</v>
      </c>
      <c r="F125" s="62">
        <v>13077204</v>
      </c>
      <c r="G125" s="62">
        <v>12260068</v>
      </c>
      <c r="H125" s="62">
        <v>-9507350</v>
      </c>
      <c r="I125" s="84">
        <v>23.61</v>
      </c>
      <c r="J125" s="84">
        <v>22.98</v>
      </c>
      <c r="K125" s="84">
        <v>1.1000000000000001</v>
      </c>
      <c r="L125" s="61" t="str">
        <f t="shared" si="1"/>
        <v>BEARISH</v>
      </c>
    </row>
    <row r="126" spans="2:12" x14ac:dyDescent="0.25">
      <c r="B126" s="59">
        <v>44783.570710995373</v>
      </c>
      <c r="C126" s="60">
        <v>17492.8</v>
      </c>
      <c r="D126" s="62">
        <v>21614650</v>
      </c>
      <c r="E126" s="62">
        <v>12107300</v>
      </c>
      <c r="F126" s="62">
        <v>13077204</v>
      </c>
      <c r="G126" s="62">
        <v>12260068</v>
      </c>
      <c r="H126" s="62">
        <v>-9507350</v>
      </c>
      <c r="I126" s="84">
        <v>23.61</v>
      </c>
      <c r="J126" s="84">
        <v>22.98</v>
      </c>
      <c r="K126" s="84">
        <v>1.1000000000000001</v>
      </c>
      <c r="L126" s="61" t="str">
        <f t="shared" si="1"/>
        <v>BEARISH</v>
      </c>
    </row>
    <row r="127" spans="2:12" x14ac:dyDescent="0.25">
      <c r="B127" s="59">
        <v>44783.570712962966</v>
      </c>
      <c r="C127" s="60">
        <v>17492.8</v>
      </c>
      <c r="D127" s="62">
        <v>21614650</v>
      </c>
      <c r="E127" s="62">
        <v>12107300</v>
      </c>
      <c r="F127" s="62">
        <v>13077204</v>
      </c>
      <c r="G127" s="62">
        <v>12260068</v>
      </c>
      <c r="H127" s="62">
        <v>-9507350</v>
      </c>
      <c r="I127" s="84">
        <v>23.61</v>
      </c>
      <c r="J127" s="84">
        <v>22.98</v>
      </c>
      <c r="K127" s="84">
        <v>1.1000000000000001</v>
      </c>
      <c r="L127" s="61" t="str">
        <f t="shared" si="1"/>
        <v>BEARISH</v>
      </c>
    </row>
    <row r="128" spans="2:12" x14ac:dyDescent="0.25">
      <c r="B128" s="59">
        <v>44783.570714930553</v>
      </c>
      <c r="C128" s="60">
        <v>17492.8</v>
      </c>
      <c r="D128" s="62">
        <v>21614650</v>
      </c>
      <c r="E128" s="62">
        <v>12107300</v>
      </c>
      <c r="F128" s="62">
        <v>13077204</v>
      </c>
      <c r="G128" s="62">
        <v>12260068</v>
      </c>
      <c r="H128" s="62">
        <v>-9507350</v>
      </c>
      <c r="I128" s="84">
        <v>23.61</v>
      </c>
      <c r="J128" s="84">
        <v>22.98</v>
      </c>
      <c r="K128" s="84">
        <v>1.1000000000000001</v>
      </c>
      <c r="L128" s="61" t="str">
        <f t="shared" si="1"/>
        <v>BEARISH</v>
      </c>
    </row>
    <row r="129" spans="2:12" x14ac:dyDescent="0.25">
      <c r="B129" s="59">
        <v>44783.570717013892</v>
      </c>
      <c r="C129" s="60">
        <v>17492.8</v>
      </c>
      <c r="D129" s="62">
        <v>21614650</v>
      </c>
      <c r="E129" s="62">
        <v>12107300</v>
      </c>
      <c r="F129" s="62">
        <v>13077204</v>
      </c>
      <c r="G129" s="62">
        <v>12260068</v>
      </c>
      <c r="H129" s="62">
        <v>-9507350</v>
      </c>
      <c r="I129" s="84">
        <v>23.61</v>
      </c>
      <c r="J129" s="84">
        <v>22.98</v>
      </c>
      <c r="K129" s="84">
        <v>1.1000000000000001</v>
      </c>
      <c r="L129" s="61" t="str">
        <f t="shared" si="1"/>
        <v>BEARISH</v>
      </c>
    </row>
    <row r="130" spans="2:12" x14ac:dyDescent="0.25">
      <c r="B130" s="59">
        <v>44783.570732175926</v>
      </c>
      <c r="C130" s="60">
        <v>17492.8</v>
      </c>
      <c r="D130" s="62">
        <v>21614650</v>
      </c>
      <c r="E130" s="62">
        <v>12107300</v>
      </c>
      <c r="F130" s="62">
        <v>13077204</v>
      </c>
      <c r="G130" s="62">
        <v>12260068</v>
      </c>
      <c r="H130" s="62">
        <v>-9507350</v>
      </c>
      <c r="I130" s="84">
        <v>23.61</v>
      </c>
      <c r="J130" s="84">
        <v>22.98</v>
      </c>
      <c r="K130" s="84">
        <v>1.1000000000000001</v>
      </c>
      <c r="L130" s="61" t="str">
        <f t="shared" si="1"/>
        <v>BEARISH</v>
      </c>
    </row>
    <row r="131" spans="2:12" x14ac:dyDescent="0.25">
      <c r="B131" s="59">
        <v>44783.570750115738</v>
      </c>
      <c r="C131" s="60">
        <v>17492.8</v>
      </c>
      <c r="D131" s="62">
        <v>21614650</v>
      </c>
      <c r="E131" s="62">
        <v>12107300</v>
      </c>
      <c r="F131" s="62">
        <v>13077204</v>
      </c>
      <c r="G131" s="62">
        <v>12260068</v>
      </c>
      <c r="H131" s="62">
        <v>-9507350</v>
      </c>
      <c r="I131" s="84">
        <v>23.61</v>
      </c>
      <c r="J131" s="84">
        <v>22.98</v>
      </c>
      <c r="K131" s="84">
        <v>1.1000000000000001</v>
      </c>
      <c r="L131" s="61" t="str">
        <f t="shared" si="1"/>
        <v>BEARISH</v>
      </c>
    </row>
    <row r="132" spans="2:12" x14ac:dyDescent="0.25">
      <c r="B132" s="59">
        <v>44783.570752083331</v>
      </c>
      <c r="C132" s="60">
        <v>17492.8</v>
      </c>
      <c r="D132" s="62">
        <v>21614650</v>
      </c>
      <c r="E132" s="62">
        <v>12107300</v>
      </c>
      <c r="F132" s="62">
        <v>13077204</v>
      </c>
      <c r="G132" s="62">
        <v>12260068</v>
      </c>
      <c r="H132" s="62">
        <v>-9507350</v>
      </c>
      <c r="I132" s="84">
        <v>23.61</v>
      </c>
      <c r="J132" s="84">
        <v>22.98</v>
      </c>
      <c r="K132" s="84">
        <v>1.1000000000000001</v>
      </c>
      <c r="L132" s="61" t="str">
        <f t="shared" si="1"/>
        <v>BEARISH</v>
      </c>
    </row>
    <row r="133" spans="2:12" x14ac:dyDescent="0.25">
      <c r="B133" s="59">
        <v>44783.572432291665</v>
      </c>
      <c r="C133" s="60">
        <v>17489.400000000001</v>
      </c>
      <c r="D133" s="62">
        <v>21710450</v>
      </c>
      <c r="E133" s="62">
        <v>12146050</v>
      </c>
      <c r="F133" s="62">
        <v>13144529</v>
      </c>
      <c r="G133" s="62">
        <v>12324980</v>
      </c>
      <c r="H133" s="62">
        <v>-9564400</v>
      </c>
      <c r="I133" s="84">
        <v>23.56</v>
      </c>
      <c r="J133" s="84">
        <v>22.8</v>
      </c>
      <c r="K133" s="84">
        <v>1.1000000000000001</v>
      </c>
      <c r="L133" s="61" t="str">
        <f t="shared" si="1"/>
        <v>BEARISH</v>
      </c>
    </row>
    <row r="134" spans="2:12" x14ac:dyDescent="0.25">
      <c r="B134" s="59">
        <v>44783.576582754627</v>
      </c>
      <c r="C134" s="60">
        <v>17499</v>
      </c>
      <c r="D134" s="62">
        <v>21954900</v>
      </c>
      <c r="E134" s="62">
        <v>12073250</v>
      </c>
      <c r="F134" s="62">
        <v>13381190</v>
      </c>
      <c r="G134" s="62">
        <v>12539228</v>
      </c>
      <c r="H134" s="62">
        <v>-9881650</v>
      </c>
      <c r="I134" s="84">
        <v>23.56</v>
      </c>
      <c r="J134" s="84">
        <v>22.8</v>
      </c>
      <c r="K134" s="84">
        <v>1.1000000000000001</v>
      </c>
      <c r="L134" s="61" t="str">
        <f t="shared" si="1"/>
        <v>BEARISH</v>
      </c>
    </row>
    <row r="135" spans="2:12" x14ac:dyDescent="0.25">
      <c r="B135" s="59">
        <v>44783.577661342591</v>
      </c>
      <c r="C135" s="60">
        <v>17499</v>
      </c>
      <c r="D135" s="62">
        <v>21954900</v>
      </c>
      <c r="E135" s="62">
        <v>12073250</v>
      </c>
      <c r="F135" s="62">
        <v>13381190</v>
      </c>
      <c r="G135" s="62">
        <v>12539228</v>
      </c>
      <c r="H135" s="62">
        <v>-9881650</v>
      </c>
      <c r="I135" s="84">
        <v>23.56</v>
      </c>
      <c r="J135" s="84">
        <v>22.8</v>
      </c>
      <c r="K135" s="84">
        <v>1.1000000000000001</v>
      </c>
      <c r="L135" s="61" t="str">
        <f t="shared" si="1"/>
        <v>BEARISH</v>
      </c>
    </row>
    <row r="136" spans="2:12" x14ac:dyDescent="0.25">
      <c r="B136" s="59">
        <v>44783.57766354167</v>
      </c>
      <c r="C136" s="60">
        <v>17499</v>
      </c>
      <c r="D136" s="62">
        <v>21954900</v>
      </c>
      <c r="E136" s="62">
        <v>12073250</v>
      </c>
      <c r="F136" s="62">
        <v>13381190</v>
      </c>
      <c r="G136" s="62">
        <v>12539228</v>
      </c>
      <c r="H136" s="62">
        <v>-9881650</v>
      </c>
      <c r="I136" s="84">
        <v>23.56</v>
      </c>
      <c r="J136" s="84">
        <v>22.8</v>
      </c>
      <c r="K136" s="84">
        <v>1.1000000000000001</v>
      </c>
      <c r="L136" s="61" t="str">
        <f t="shared" si="1"/>
        <v>BEARISH</v>
      </c>
    </row>
    <row r="137" spans="2:12" x14ac:dyDescent="0.25">
      <c r="B137" s="59">
        <v>44783.57766574074</v>
      </c>
      <c r="C137" s="60">
        <v>17499</v>
      </c>
      <c r="D137" s="62">
        <v>21954900</v>
      </c>
      <c r="E137" s="62">
        <v>12073250</v>
      </c>
      <c r="F137" s="62">
        <v>13381190</v>
      </c>
      <c r="G137" s="62">
        <v>12539228</v>
      </c>
      <c r="H137" s="62">
        <v>-9881650</v>
      </c>
      <c r="I137" s="84">
        <v>23.56</v>
      </c>
      <c r="J137" s="84">
        <v>22.8</v>
      </c>
      <c r="K137" s="84">
        <v>1.1000000000000001</v>
      </c>
      <c r="L137" s="61" t="str">
        <f t="shared" si="1"/>
        <v>BEARISH</v>
      </c>
    </row>
    <row r="138" spans="2:12" x14ac:dyDescent="0.25">
      <c r="B138" s="59">
        <v>44783.577668055557</v>
      </c>
      <c r="C138" s="60">
        <v>17499</v>
      </c>
      <c r="D138" s="62">
        <v>21954900</v>
      </c>
      <c r="E138" s="62">
        <v>12073250</v>
      </c>
      <c r="F138" s="62">
        <v>13381190</v>
      </c>
      <c r="G138" s="62">
        <v>12539228</v>
      </c>
      <c r="H138" s="62">
        <v>-9881650</v>
      </c>
      <c r="I138" s="84">
        <v>23.56</v>
      </c>
      <c r="J138" s="84">
        <v>22.8</v>
      </c>
      <c r="K138" s="84">
        <v>1.1000000000000001</v>
      </c>
      <c r="L138" s="61" t="str">
        <f t="shared" si="1"/>
        <v>BEARISH</v>
      </c>
    </row>
    <row r="139" spans="2:12" x14ac:dyDescent="0.25">
      <c r="B139" s="59">
        <v>44783.577670370367</v>
      </c>
      <c r="C139" s="60">
        <v>17499</v>
      </c>
      <c r="D139" s="62">
        <v>21954900</v>
      </c>
      <c r="E139" s="62">
        <v>12073250</v>
      </c>
      <c r="F139" s="62">
        <v>13381190</v>
      </c>
      <c r="G139" s="62">
        <v>12539228</v>
      </c>
      <c r="H139" s="62">
        <v>-9881650</v>
      </c>
      <c r="I139" s="84">
        <v>23.56</v>
      </c>
      <c r="J139" s="84">
        <v>22.8</v>
      </c>
      <c r="K139" s="84">
        <v>1.1000000000000001</v>
      </c>
      <c r="L139" s="61" t="str">
        <f t="shared" si="1"/>
        <v>BEARISH</v>
      </c>
    </row>
    <row r="140" spans="2:12" x14ac:dyDescent="0.25">
      <c r="B140" s="59">
        <v>44783.577684953707</v>
      </c>
      <c r="C140" s="60">
        <v>17499</v>
      </c>
      <c r="D140" s="62">
        <v>21954900</v>
      </c>
      <c r="E140" s="62">
        <v>12073250</v>
      </c>
      <c r="F140" s="62">
        <v>13381190</v>
      </c>
      <c r="G140" s="62">
        <v>12539228</v>
      </c>
      <c r="H140" s="62">
        <v>-9881650</v>
      </c>
      <c r="I140" s="84">
        <v>23.56</v>
      </c>
      <c r="J140" s="84">
        <v>22.8</v>
      </c>
      <c r="K140" s="84">
        <v>1.1000000000000001</v>
      </c>
      <c r="L140" s="61" t="str">
        <f t="shared" si="1"/>
        <v>BEARISH</v>
      </c>
    </row>
    <row r="141" spans="2:12" x14ac:dyDescent="0.25">
      <c r="B141" s="59">
        <v>44783.577686689816</v>
      </c>
      <c r="C141" s="60">
        <v>17499</v>
      </c>
      <c r="D141" s="62">
        <v>21954900</v>
      </c>
      <c r="E141" s="62">
        <v>12073250</v>
      </c>
      <c r="F141" s="62">
        <v>13381190</v>
      </c>
      <c r="G141" s="62">
        <v>12539228</v>
      </c>
      <c r="H141" s="62">
        <v>-9881650</v>
      </c>
      <c r="I141" s="84">
        <v>23.56</v>
      </c>
      <c r="J141" s="84">
        <v>22.8</v>
      </c>
      <c r="K141" s="84">
        <v>1.1000000000000001</v>
      </c>
      <c r="L141" s="61" t="str">
        <f t="shared" si="1"/>
        <v>BEARISH</v>
      </c>
    </row>
    <row r="142" spans="2:12" x14ac:dyDescent="0.25">
      <c r="B142" s="59">
        <v>44783.577689004633</v>
      </c>
      <c r="C142" s="60">
        <v>17499</v>
      </c>
      <c r="D142" s="62">
        <v>21954900</v>
      </c>
      <c r="E142" s="62">
        <v>12073250</v>
      </c>
      <c r="F142" s="62">
        <v>13381190</v>
      </c>
      <c r="G142" s="62">
        <v>12539228</v>
      </c>
      <c r="H142" s="62">
        <v>-9881650</v>
      </c>
      <c r="I142" s="84">
        <v>23.56</v>
      </c>
      <c r="J142" s="84">
        <v>22.8</v>
      </c>
      <c r="K142" s="84">
        <v>1.1000000000000001</v>
      </c>
      <c r="L142" s="61" t="str">
        <f t="shared" si="1"/>
        <v>BEARISH</v>
      </c>
    </row>
    <row r="143" spans="2:12" x14ac:dyDescent="0.25">
      <c r="B143" s="59">
        <v>44783.580702546293</v>
      </c>
      <c r="C143" s="60">
        <v>17499.8</v>
      </c>
      <c r="D143" s="62">
        <v>22054300</v>
      </c>
      <c r="E143" s="62">
        <v>12174850</v>
      </c>
      <c r="F143" s="62">
        <v>13649576</v>
      </c>
      <c r="G143" s="62">
        <v>12773566</v>
      </c>
      <c r="H143" s="62">
        <v>-9879450</v>
      </c>
      <c r="I143" s="84">
        <v>23.58</v>
      </c>
      <c r="J143" s="84">
        <v>22.32</v>
      </c>
      <c r="K143" s="84">
        <v>1.1000000000000001</v>
      </c>
      <c r="L143" s="61" t="str">
        <f t="shared" si="1"/>
        <v>BEARISH</v>
      </c>
    </row>
    <row r="144" spans="2:12" x14ac:dyDescent="0.25">
      <c r="B144" s="59">
        <v>44783.582758449076</v>
      </c>
      <c r="C144" s="60">
        <v>17499.05</v>
      </c>
      <c r="D144" s="62">
        <v>21860700</v>
      </c>
      <c r="E144" s="62">
        <v>11830050</v>
      </c>
      <c r="F144" s="62">
        <v>13733042</v>
      </c>
      <c r="G144" s="62">
        <v>12182221</v>
      </c>
      <c r="H144" s="62">
        <v>-10030650</v>
      </c>
      <c r="I144" s="84">
        <v>23.58</v>
      </c>
      <c r="J144" s="84">
        <v>22.32</v>
      </c>
      <c r="K144" s="84">
        <v>1.1100000000000001</v>
      </c>
      <c r="L144" s="61" t="str">
        <f t="shared" si="1"/>
        <v>BEARISH</v>
      </c>
    </row>
    <row r="145" spans="2:12" x14ac:dyDescent="0.25">
      <c r="B145" s="59">
        <v>44783.58460115741</v>
      </c>
      <c r="C145" s="60">
        <v>17499.05</v>
      </c>
      <c r="D145" s="62">
        <v>21860700</v>
      </c>
      <c r="E145" s="62">
        <v>11830050</v>
      </c>
      <c r="F145" s="62">
        <v>13733042</v>
      </c>
      <c r="G145" s="62">
        <v>12182221</v>
      </c>
      <c r="H145" s="62">
        <v>-10030650</v>
      </c>
      <c r="I145" s="84">
        <v>23.58</v>
      </c>
      <c r="J145" s="84">
        <v>22.32</v>
      </c>
      <c r="K145" s="84">
        <v>1.1100000000000001</v>
      </c>
      <c r="L145" s="61" t="str">
        <f t="shared" si="1"/>
        <v>BEARISH</v>
      </c>
    </row>
    <row r="146" spans="2:12" x14ac:dyDescent="0.25">
      <c r="B146" s="59">
        <v>44783.584612500003</v>
      </c>
      <c r="C146" s="60">
        <v>17499.05</v>
      </c>
      <c r="D146" s="62">
        <v>21860700</v>
      </c>
      <c r="E146" s="62">
        <v>11830050</v>
      </c>
      <c r="F146" s="62">
        <v>13733042</v>
      </c>
      <c r="G146" s="62">
        <v>12182221</v>
      </c>
      <c r="H146" s="62">
        <v>-10030650</v>
      </c>
      <c r="I146" s="84">
        <v>23.58</v>
      </c>
      <c r="J146" s="84">
        <v>22.32</v>
      </c>
      <c r="K146" s="84">
        <v>1.1100000000000001</v>
      </c>
      <c r="L146" s="61" t="str">
        <f t="shared" si="1"/>
        <v>BEARISH</v>
      </c>
    </row>
    <row r="147" spans="2:12" x14ac:dyDescent="0.25">
      <c r="B147" s="59">
        <v>44783.584613657411</v>
      </c>
      <c r="C147" s="60">
        <v>17499.05</v>
      </c>
      <c r="D147" s="62">
        <v>21860700</v>
      </c>
      <c r="E147" s="62">
        <v>11830050</v>
      </c>
      <c r="F147" s="62">
        <v>13733042</v>
      </c>
      <c r="G147" s="62">
        <v>12182221</v>
      </c>
      <c r="H147" s="62">
        <v>-10030650</v>
      </c>
      <c r="I147" s="84">
        <v>23.58</v>
      </c>
      <c r="J147" s="84">
        <v>22.32</v>
      </c>
      <c r="K147" s="84">
        <v>1.1100000000000001</v>
      </c>
      <c r="L147" s="61" t="str">
        <f t="shared" si="1"/>
        <v>BEARISH</v>
      </c>
    </row>
    <row r="148" spans="2:12" x14ac:dyDescent="0.25">
      <c r="B148" s="59">
        <v>44783.584614930558</v>
      </c>
      <c r="C148" s="60">
        <v>17499.05</v>
      </c>
      <c r="D148" s="62">
        <v>21860700</v>
      </c>
      <c r="E148" s="62">
        <v>11830050</v>
      </c>
      <c r="F148" s="62">
        <v>13733042</v>
      </c>
      <c r="G148" s="62">
        <v>12182221</v>
      </c>
      <c r="H148" s="62">
        <v>-10030650</v>
      </c>
      <c r="I148" s="84">
        <v>23.58</v>
      </c>
      <c r="J148" s="84">
        <v>22.32</v>
      </c>
      <c r="K148" s="84">
        <v>1.1100000000000001</v>
      </c>
      <c r="L148" s="61" t="str">
        <f t="shared" si="1"/>
        <v>BEARISH</v>
      </c>
    </row>
    <row r="149" spans="2:12" x14ac:dyDescent="0.25">
      <c r="B149" s="59">
        <v>44783.584616319444</v>
      </c>
      <c r="C149" s="60">
        <v>17499.05</v>
      </c>
      <c r="D149" s="62">
        <v>21860700</v>
      </c>
      <c r="E149" s="62">
        <v>11830050</v>
      </c>
      <c r="F149" s="62">
        <v>13733042</v>
      </c>
      <c r="G149" s="62">
        <v>12182221</v>
      </c>
      <c r="H149" s="62">
        <v>-10030650</v>
      </c>
      <c r="I149" s="84">
        <v>23.58</v>
      </c>
      <c r="J149" s="84">
        <v>22.32</v>
      </c>
      <c r="K149" s="84">
        <v>1.1100000000000001</v>
      </c>
      <c r="L149" s="61" t="str">
        <f t="shared" si="1"/>
        <v>BEARISH</v>
      </c>
    </row>
    <row r="150" spans="2:12" x14ac:dyDescent="0.25">
      <c r="B150" s="59">
        <v>44783.584635648149</v>
      </c>
      <c r="C150" s="60">
        <v>17499.05</v>
      </c>
      <c r="D150" s="62">
        <v>21860700</v>
      </c>
      <c r="E150" s="62">
        <v>11830050</v>
      </c>
      <c r="F150" s="62">
        <v>13733042</v>
      </c>
      <c r="G150" s="62">
        <v>12182221</v>
      </c>
      <c r="H150" s="62">
        <v>-10030650</v>
      </c>
      <c r="I150" s="84">
        <v>23.58</v>
      </c>
      <c r="J150" s="84">
        <v>22.32</v>
      </c>
      <c r="K150" s="84">
        <v>1.1100000000000001</v>
      </c>
      <c r="L150" s="61" t="str">
        <f t="shared" si="1"/>
        <v>BEARISH</v>
      </c>
    </row>
    <row r="151" spans="2:12" x14ac:dyDescent="0.25">
      <c r="B151" s="59">
        <v>44783.584636921296</v>
      </c>
      <c r="C151" s="60">
        <v>17499.05</v>
      </c>
      <c r="D151" s="62">
        <v>21860700</v>
      </c>
      <c r="E151" s="62">
        <v>11830050</v>
      </c>
      <c r="F151" s="62">
        <v>13733042</v>
      </c>
      <c r="G151" s="62">
        <v>12182221</v>
      </c>
      <c r="H151" s="62">
        <v>-10030650</v>
      </c>
      <c r="I151" s="84">
        <v>23.58</v>
      </c>
      <c r="J151" s="84">
        <v>22.32</v>
      </c>
      <c r="K151" s="84">
        <v>1.1100000000000001</v>
      </c>
      <c r="L151" s="61" t="str">
        <f t="shared" si="1"/>
        <v>BEARISH</v>
      </c>
    </row>
    <row r="152" spans="2:12" x14ac:dyDescent="0.25">
      <c r="B152" s="59">
        <v>44783.584638657405</v>
      </c>
      <c r="C152" s="60">
        <v>17499.05</v>
      </c>
      <c r="D152" s="62">
        <v>21860700</v>
      </c>
      <c r="E152" s="62">
        <v>11830050</v>
      </c>
      <c r="F152" s="62">
        <v>13733042</v>
      </c>
      <c r="G152" s="62">
        <v>12182221</v>
      </c>
      <c r="H152" s="62">
        <v>-10030650</v>
      </c>
      <c r="I152" s="84">
        <v>23.58</v>
      </c>
      <c r="J152" s="84">
        <v>22.32</v>
      </c>
      <c r="K152" s="84">
        <v>1.1100000000000001</v>
      </c>
      <c r="L152" s="61" t="str">
        <f t="shared" ref="L152:L213" si="2">IF(D152&gt;E152,"BEARISH",IF(D152&lt;E152,"BULLISH","NOT CONCLUSIVE"))</f>
        <v>BEARISH</v>
      </c>
    </row>
    <row r="153" spans="2:12" x14ac:dyDescent="0.25">
      <c r="B153" s="59">
        <v>44783.586894097221</v>
      </c>
      <c r="C153" s="60">
        <v>17504.45</v>
      </c>
      <c r="D153" s="62">
        <v>21783950</v>
      </c>
      <c r="E153" s="62">
        <v>12442400</v>
      </c>
      <c r="F153" s="62">
        <v>13907008</v>
      </c>
      <c r="G153" s="62">
        <v>13003718</v>
      </c>
      <c r="H153" s="62">
        <v>-9341550</v>
      </c>
      <c r="I153" s="84">
        <v>22.86</v>
      </c>
      <c r="J153" s="84">
        <v>22.69</v>
      </c>
      <c r="K153" s="84">
        <v>1.1299999999999999</v>
      </c>
      <c r="L153" s="61" t="str">
        <f t="shared" si="2"/>
        <v>BEARISH</v>
      </c>
    </row>
    <row r="154" spans="2:12" x14ac:dyDescent="0.25">
      <c r="B154" s="59">
        <v>44783.591036689817</v>
      </c>
      <c r="C154" s="60">
        <v>17511.55</v>
      </c>
      <c r="D154" s="62">
        <v>21977450</v>
      </c>
      <c r="E154" s="62">
        <v>12206400</v>
      </c>
      <c r="F154" s="62">
        <v>14212921</v>
      </c>
      <c r="G154" s="62">
        <v>13292684</v>
      </c>
      <c r="H154" s="62">
        <v>-9771050</v>
      </c>
      <c r="I154" s="84">
        <v>22.86</v>
      </c>
      <c r="J154" s="84">
        <v>22.69</v>
      </c>
      <c r="K154" s="84">
        <v>1.1100000000000001</v>
      </c>
      <c r="L154" s="61" t="str">
        <f t="shared" si="2"/>
        <v>BEARISH</v>
      </c>
    </row>
    <row r="155" spans="2:12" x14ac:dyDescent="0.25">
      <c r="B155" s="59">
        <v>44783.59155138889</v>
      </c>
      <c r="C155" s="60">
        <v>17511.55</v>
      </c>
      <c r="D155" s="62">
        <v>21977450</v>
      </c>
      <c r="E155" s="62">
        <v>12206400</v>
      </c>
      <c r="F155" s="62">
        <v>14212921</v>
      </c>
      <c r="G155" s="62">
        <v>13292684</v>
      </c>
      <c r="H155" s="62">
        <v>-9771050</v>
      </c>
      <c r="I155" s="84">
        <v>22.86</v>
      </c>
      <c r="J155" s="84">
        <v>22.69</v>
      </c>
      <c r="K155" s="84">
        <v>1.1100000000000001</v>
      </c>
      <c r="L155" s="61" t="str">
        <f t="shared" si="2"/>
        <v>BEARISH</v>
      </c>
    </row>
    <row r="156" spans="2:12" x14ac:dyDescent="0.25">
      <c r="B156" s="59">
        <v>44783.591553587961</v>
      </c>
      <c r="C156" s="60">
        <v>17511.55</v>
      </c>
      <c r="D156" s="62">
        <v>21977450</v>
      </c>
      <c r="E156" s="62">
        <v>12206400</v>
      </c>
      <c r="F156" s="62">
        <v>14212921</v>
      </c>
      <c r="G156" s="62">
        <v>13292684</v>
      </c>
      <c r="H156" s="62">
        <v>-9771050</v>
      </c>
      <c r="I156" s="84">
        <v>22.86</v>
      </c>
      <c r="J156" s="84">
        <v>22.69</v>
      </c>
      <c r="K156" s="84">
        <v>1.1100000000000001</v>
      </c>
      <c r="L156" s="61" t="str">
        <f t="shared" si="2"/>
        <v>BEARISH</v>
      </c>
    </row>
    <row r="157" spans="2:12" x14ac:dyDescent="0.25">
      <c r="B157" s="59">
        <v>44783.591557060186</v>
      </c>
      <c r="C157" s="60">
        <v>17511.55</v>
      </c>
      <c r="D157" s="62">
        <v>21977450</v>
      </c>
      <c r="E157" s="62">
        <v>12206400</v>
      </c>
      <c r="F157" s="62">
        <v>14212921</v>
      </c>
      <c r="G157" s="62">
        <v>13292684</v>
      </c>
      <c r="H157" s="62">
        <v>-9771050</v>
      </c>
      <c r="I157" s="84">
        <v>22.86</v>
      </c>
      <c r="J157" s="84">
        <v>22.69</v>
      </c>
      <c r="K157" s="84">
        <v>1.1100000000000001</v>
      </c>
      <c r="L157" s="61" t="str">
        <f t="shared" si="2"/>
        <v>BEARISH</v>
      </c>
    </row>
    <row r="158" spans="2:12" x14ac:dyDescent="0.25">
      <c r="B158" s="59">
        <v>44783.591560763889</v>
      </c>
      <c r="C158" s="60">
        <v>17511.55</v>
      </c>
      <c r="D158" s="62">
        <v>21977450</v>
      </c>
      <c r="E158" s="62">
        <v>12206400</v>
      </c>
      <c r="F158" s="62">
        <v>14212921</v>
      </c>
      <c r="G158" s="62">
        <v>13292684</v>
      </c>
      <c r="H158" s="62">
        <v>-9771050</v>
      </c>
      <c r="I158" s="84">
        <v>22.86</v>
      </c>
      <c r="J158" s="84">
        <v>22.69</v>
      </c>
      <c r="K158" s="84">
        <v>1.1100000000000001</v>
      </c>
      <c r="L158" s="61" t="str">
        <f t="shared" si="2"/>
        <v>BEARISH</v>
      </c>
    </row>
    <row r="159" spans="2:12" x14ac:dyDescent="0.25">
      <c r="B159" s="59">
        <v>44783.591563541668</v>
      </c>
      <c r="C159" s="60">
        <v>17511.55</v>
      </c>
      <c r="D159" s="62">
        <v>21977450</v>
      </c>
      <c r="E159" s="62">
        <v>12206400</v>
      </c>
      <c r="F159" s="62">
        <v>14212921</v>
      </c>
      <c r="G159" s="62">
        <v>13292684</v>
      </c>
      <c r="H159" s="62">
        <v>-9771050</v>
      </c>
      <c r="I159" s="84">
        <v>22.86</v>
      </c>
      <c r="J159" s="84">
        <v>22.69</v>
      </c>
      <c r="K159" s="84">
        <v>1.1100000000000001</v>
      </c>
      <c r="L159" s="61" t="str">
        <f t="shared" si="2"/>
        <v>BEARISH</v>
      </c>
    </row>
    <row r="160" spans="2:12" x14ac:dyDescent="0.25">
      <c r="B160" s="59">
        <v>44783.591578009262</v>
      </c>
      <c r="C160" s="60">
        <v>17511.55</v>
      </c>
      <c r="D160" s="62">
        <v>21977450</v>
      </c>
      <c r="E160" s="62">
        <v>12206400</v>
      </c>
      <c r="F160" s="62">
        <v>14212921</v>
      </c>
      <c r="G160" s="62">
        <v>13292684</v>
      </c>
      <c r="H160" s="62">
        <v>-9771050</v>
      </c>
      <c r="I160" s="84">
        <v>22.86</v>
      </c>
      <c r="J160" s="84">
        <v>22.69</v>
      </c>
      <c r="K160" s="84">
        <v>1.1100000000000001</v>
      </c>
      <c r="L160" s="61" t="str">
        <f t="shared" si="2"/>
        <v>BEARISH</v>
      </c>
    </row>
    <row r="161" spans="2:12" x14ac:dyDescent="0.25">
      <c r="B161" s="59">
        <v>44783.591581250002</v>
      </c>
      <c r="C161" s="60">
        <v>17511.55</v>
      </c>
      <c r="D161" s="62">
        <v>21977450</v>
      </c>
      <c r="E161" s="62">
        <v>12206400</v>
      </c>
      <c r="F161" s="62">
        <v>14212921</v>
      </c>
      <c r="G161" s="62">
        <v>13292684</v>
      </c>
      <c r="H161" s="62">
        <v>-9771050</v>
      </c>
      <c r="I161" s="84">
        <v>22.86</v>
      </c>
      <c r="J161" s="84">
        <v>22.69</v>
      </c>
      <c r="K161" s="84">
        <v>1.1100000000000001</v>
      </c>
      <c r="L161" s="61" t="str">
        <f t="shared" si="2"/>
        <v>BEARISH</v>
      </c>
    </row>
    <row r="162" spans="2:12" x14ac:dyDescent="0.25">
      <c r="B162" s="59">
        <v>44783.591584490743</v>
      </c>
      <c r="C162" s="60">
        <v>17511.55</v>
      </c>
      <c r="D162" s="62">
        <v>21977450</v>
      </c>
      <c r="E162" s="62">
        <v>12206400</v>
      </c>
      <c r="F162" s="62">
        <v>14212921</v>
      </c>
      <c r="G162" s="62">
        <v>13292684</v>
      </c>
      <c r="H162" s="62">
        <v>-9771050</v>
      </c>
      <c r="I162" s="84">
        <v>22.86</v>
      </c>
      <c r="J162" s="84">
        <v>22.69</v>
      </c>
      <c r="K162" s="84">
        <v>1.1100000000000001</v>
      </c>
      <c r="L162" s="61" t="str">
        <f t="shared" si="2"/>
        <v>BEARISH</v>
      </c>
    </row>
    <row r="163" spans="2:12" x14ac:dyDescent="0.25">
      <c r="B163" s="59">
        <v>44783.595187962965</v>
      </c>
      <c r="C163" s="60">
        <v>17529.599999999999</v>
      </c>
      <c r="D163" s="62">
        <v>23751300</v>
      </c>
      <c r="E163" s="62">
        <v>11999850</v>
      </c>
      <c r="F163" s="62">
        <v>15435796</v>
      </c>
      <c r="G163" s="62">
        <v>12284160</v>
      </c>
      <c r="H163" s="62">
        <v>-11751450</v>
      </c>
      <c r="I163" s="84">
        <v>22.85</v>
      </c>
      <c r="J163" s="84">
        <v>21.49</v>
      </c>
      <c r="K163" s="84">
        <v>0.48</v>
      </c>
      <c r="L163" s="61" t="str">
        <f t="shared" si="2"/>
        <v>BEARISH</v>
      </c>
    </row>
    <row r="164" spans="2:12" x14ac:dyDescent="0.25">
      <c r="B164" s="59">
        <v>44783.597248611113</v>
      </c>
      <c r="C164" s="60">
        <v>17532.400000000001</v>
      </c>
      <c r="D164" s="62">
        <v>22538450</v>
      </c>
      <c r="E164" s="62">
        <v>12134200</v>
      </c>
      <c r="F164" s="62">
        <v>15827945</v>
      </c>
      <c r="G164" s="62">
        <v>12510446</v>
      </c>
      <c r="H164" s="62">
        <v>-10404250</v>
      </c>
      <c r="I164" s="84">
        <v>22.85</v>
      </c>
      <c r="J164" s="84">
        <v>21.49</v>
      </c>
      <c r="K164" s="84">
        <v>0.51</v>
      </c>
      <c r="L164" s="61" t="str">
        <f t="shared" si="2"/>
        <v>BEARISH</v>
      </c>
    </row>
    <row r="165" spans="2:12" x14ac:dyDescent="0.25">
      <c r="B165" s="59">
        <v>44783.59849733796</v>
      </c>
      <c r="C165" s="60">
        <v>17532.400000000001</v>
      </c>
      <c r="D165" s="62">
        <v>22538450</v>
      </c>
      <c r="E165" s="62">
        <v>12134200</v>
      </c>
      <c r="F165" s="62">
        <v>15827945</v>
      </c>
      <c r="G165" s="62">
        <v>12510446</v>
      </c>
      <c r="H165" s="62">
        <v>-10404250</v>
      </c>
      <c r="I165" s="84">
        <v>22.85</v>
      </c>
      <c r="J165" s="84">
        <v>21.49</v>
      </c>
      <c r="K165" s="84">
        <v>0.51</v>
      </c>
      <c r="L165" s="61" t="str">
        <f t="shared" si="2"/>
        <v>BEARISH</v>
      </c>
    </row>
    <row r="166" spans="2:12" x14ac:dyDescent="0.25">
      <c r="B166" s="59">
        <v>44783.598499074076</v>
      </c>
      <c r="C166" s="60">
        <v>17532.400000000001</v>
      </c>
      <c r="D166" s="62">
        <v>22538450</v>
      </c>
      <c r="E166" s="62">
        <v>12134200</v>
      </c>
      <c r="F166" s="62">
        <v>15827945</v>
      </c>
      <c r="G166" s="62">
        <v>12510446</v>
      </c>
      <c r="H166" s="62">
        <v>-10404250</v>
      </c>
      <c r="I166" s="84">
        <v>22.85</v>
      </c>
      <c r="J166" s="84">
        <v>21.49</v>
      </c>
      <c r="K166" s="84">
        <v>0.51</v>
      </c>
      <c r="L166" s="61" t="str">
        <f t="shared" si="2"/>
        <v>BEARISH</v>
      </c>
    </row>
    <row r="167" spans="2:12" x14ac:dyDescent="0.25">
      <c r="B167" s="59">
        <v>44783.598500462962</v>
      </c>
      <c r="C167" s="60">
        <v>17532.400000000001</v>
      </c>
      <c r="D167" s="62">
        <v>22538450</v>
      </c>
      <c r="E167" s="62">
        <v>12134200</v>
      </c>
      <c r="F167" s="62">
        <v>15827945</v>
      </c>
      <c r="G167" s="62">
        <v>12510446</v>
      </c>
      <c r="H167" s="62">
        <v>-10404250</v>
      </c>
      <c r="I167" s="84">
        <v>22.85</v>
      </c>
      <c r="J167" s="84">
        <v>21.49</v>
      </c>
      <c r="K167" s="84">
        <v>0.51</v>
      </c>
      <c r="L167" s="61" t="str">
        <f t="shared" si="2"/>
        <v>BEARISH</v>
      </c>
    </row>
    <row r="168" spans="2:12" x14ac:dyDescent="0.25">
      <c r="B168" s="59">
        <v>44783.598501967594</v>
      </c>
      <c r="C168" s="60">
        <v>17532.400000000001</v>
      </c>
      <c r="D168" s="62">
        <v>22538450</v>
      </c>
      <c r="E168" s="62">
        <v>12134200</v>
      </c>
      <c r="F168" s="62">
        <v>15827945</v>
      </c>
      <c r="G168" s="62">
        <v>12510446</v>
      </c>
      <c r="H168" s="62">
        <v>-10404250</v>
      </c>
      <c r="I168" s="84">
        <v>22.85</v>
      </c>
      <c r="J168" s="84">
        <v>21.49</v>
      </c>
      <c r="K168" s="84">
        <v>0.51</v>
      </c>
      <c r="L168" s="61" t="str">
        <f t="shared" si="2"/>
        <v>BEARISH</v>
      </c>
    </row>
    <row r="169" spans="2:12" x14ac:dyDescent="0.25">
      <c r="B169" s="59">
        <v>44783.598508449075</v>
      </c>
      <c r="C169" s="60">
        <v>17532.400000000001</v>
      </c>
      <c r="D169" s="62">
        <v>22538450</v>
      </c>
      <c r="E169" s="62">
        <v>12134200</v>
      </c>
      <c r="F169" s="62">
        <v>15827945</v>
      </c>
      <c r="G169" s="62">
        <v>12510446</v>
      </c>
      <c r="H169" s="62">
        <v>-10404250</v>
      </c>
      <c r="I169" s="84">
        <v>22.85</v>
      </c>
      <c r="J169" s="84">
        <v>21.49</v>
      </c>
      <c r="K169" s="84">
        <v>0.51</v>
      </c>
      <c r="L169" s="61" t="str">
        <f t="shared" si="2"/>
        <v>BEARISH</v>
      </c>
    </row>
    <row r="170" spans="2:12" x14ac:dyDescent="0.25">
      <c r="B170" s="59">
        <v>44783.59852013889</v>
      </c>
      <c r="C170" s="60">
        <v>17532.400000000001</v>
      </c>
      <c r="D170" s="62">
        <v>22538450</v>
      </c>
      <c r="E170" s="62">
        <v>12134200</v>
      </c>
      <c r="F170" s="62">
        <v>15827945</v>
      </c>
      <c r="G170" s="62">
        <v>12510446</v>
      </c>
      <c r="H170" s="62">
        <v>-10404250</v>
      </c>
      <c r="I170" s="84">
        <v>22.85</v>
      </c>
      <c r="J170" s="84">
        <v>21.49</v>
      </c>
      <c r="K170" s="84">
        <v>0.51</v>
      </c>
      <c r="L170" s="61" t="str">
        <f t="shared" si="2"/>
        <v>BEARISH</v>
      </c>
    </row>
    <row r="171" spans="2:12" x14ac:dyDescent="0.25">
      <c r="B171" s="59">
        <v>44783.598521527776</v>
      </c>
      <c r="C171" s="60">
        <v>17532.400000000001</v>
      </c>
      <c r="D171" s="62">
        <v>22538450</v>
      </c>
      <c r="E171" s="62">
        <v>12134200</v>
      </c>
      <c r="F171" s="62">
        <v>15827945</v>
      </c>
      <c r="G171" s="62">
        <v>12510446</v>
      </c>
      <c r="H171" s="62">
        <v>-10404250</v>
      </c>
      <c r="I171" s="84">
        <v>22.85</v>
      </c>
      <c r="J171" s="84">
        <v>21.49</v>
      </c>
      <c r="K171" s="84">
        <v>0.51</v>
      </c>
      <c r="L171" s="61" t="str">
        <f t="shared" si="2"/>
        <v>BEARISH</v>
      </c>
    </row>
    <row r="172" spans="2:12" x14ac:dyDescent="0.25">
      <c r="B172" s="59">
        <v>44783.598522685184</v>
      </c>
      <c r="C172" s="60">
        <v>17532.400000000001</v>
      </c>
      <c r="D172" s="62">
        <v>22538450</v>
      </c>
      <c r="E172" s="62">
        <v>12134200</v>
      </c>
      <c r="F172" s="62">
        <v>15827945</v>
      </c>
      <c r="G172" s="62">
        <v>12510446</v>
      </c>
      <c r="H172" s="62">
        <v>-10404250</v>
      </c>
      <c r="I172" s="84">
        <v>22.85</v>
      </c>
      <c r="J172" s="84">
        <v>21.49</v>
      </c>
      <c r="K172" s="84">
        <v>0.51</v>
      </c>
      <c r="L172" s="61" t="str">
        <f t="shared" si="2"/>
        <v>BEARISH</v>
      </c>
    </row>
    <row r="173" spans="2:12" x14ac:dyDescent="0.25">
      <c r="B173" s="59">
        <v>44783.601372916666</v>
      </c>
      <c r="C173" s="60">
        <v>17533.349999999999</v>
      </c>
      <c r="D173" s="62">
        <v>22705000</v>
      </c>
      <c r="E173" s="62">
        <v>12712400</v>
      </c>
      <c r="F173" s="62">
        <v>16266887</v>
      </c>
      <c r="G173" s="62">
        <v>12808897</v>
      </c>
      <c r="H173" s="62">
        <v>-9992600</v>
      </c>
      <c r="I173" s="84">
        <v>23.6</v>
      </c>
      <c r="J173" s="84">
        <v>21.08</v>
      </c>
      <c r="K173" s="84">
        <v>0.54</v>
      </c>
      <c r="L173" s="61" t="str">
        <f t="shared" si="2"/>
        <v>BEARISH</v>
      </c>
    </row>
    <row r="174" spans="2:12" x14ac:dyDescent="0.25">
      <c r="B174" s="59">
        <v>44783.604734490742</v>
      </c>
      <c r="C174" s="60">
        <v>17532.349999999999</v>
      </c>
      <c r="D174" s="62">
        <v>22934900</v>
      </c>
      <c r="E174" s="62">
        <v>13307900</v>
      </c>
      <c r="F174" s="62">
        <v>16464863</v>
      </c>
      <c r="G174" s="62">
        <v>12994579</v>
      </c>
      <c r="H174" s="62">
        <v>-9627000</v>
      </c>
      <c r="I174" s="84">
        <v>23.6</v>
      </c>
      <c r="J174" s="84">
        <v>21.08</v>
      </c>
      <c r="K174" s="84">
        <v>0.55000000000000004</v>
      </c>
      <c r="L174" s="61" t="str">
        <f t="shared" si="2"/>
        <v>BEARISH</v>
      </c>
    </row>
    <row r="175" spans="2:12" x14ac:dyDescent="0.25">
      <c r="B175" s="59">
        <v>44783.605445370369</v>
      </c>
      <c r="C175" s="60">
        <v>17532.349999999999</v>
      </c>
      <c r="D175" s="62">
        <v>22934900</v>
      </c>
      <c r="E175" s="62">
        <v>13307900</v>
      </c>
      <c r="F175" s="62">
        <v>16464863</v>
      </c>
      <c r="G175" s="62">
        <v>12994579</v>
      </c>
      <c r="H175" s="62">
        <v>-9627000</v>
      </c>
      <c r="I175" s="84">
        <v>23.6</v>
      </c>
      <c r="J175" s="84">
        <v>21.08</v>
      </c>
      <c r="K175" s="84">
        <v>0.55000000000000004</v>
      </c>
      <c r="L175" s="61" t="str">
        <f t="shared" si="2"/>
        <v>BEARISH</v>
      </c>
    </row>
    <row r="176" spans="2:12" x14ac:dyDescent="0.25">
      <c r="B176" s="59">
        <v>44783.605447685186</v>
      </c>
      <c r="C176" s="60">
        <v>17532.349999999999</v>
      </c>
      <c r="D176" s="62">
        <v>22934900</v>
      </c>
      <c r="E176" s="62">
        <v>13307900</v>
      </c>
      <c r="F176" s="62">
        <v>16464863</v>
      </c>
      <c r="G176" s="62">
        <v>12994579</v>
      </c>
      <c r="H176" s="62">
        <v>-9627000</v>
      </c>
      <c r="I176" s="84">
        <v>23.6</v>
      </c>
      <c r="J176" s="84">
        <v>21.08</v>
      </c>
      <c r="K176" s="84">
        <v>0.55000000000000004</v>
      </c>
      <c r="L176" s="61" t="str">
        <f t="shared" si="2"/>
        <v>BEARISH</v>
      </c>
    </row>
    <row r="177" spans="2:12" x14ac:dyDescent="0.25">
      <c r="B177" s="59">
        <v>44783.605449305556</v>
      </c>
      <c r="C177" s="60">
        <v>17532.349999999999</v>
      </c>
      <c r="D177" s="62">
        <v>22934900</v>
      </c>
      <c r="E177" s="62">
        <v>13307900</v>
      </c>
      <c r="F177" s="62">
        <v>16464863</v>
      </c>
      <c r="G177" s="62">
        <v>12994579</v>
      </c>
      <c r="H177" s="62">
        <v>-9627000</v>
      </c>
      <c r="I177" s="84">
        <v>23.6</v>
      </c>
      <c r="J177" s="84">
        <v>21.08</v>
      </c>
      <c r="K177" s="84">
        <v>0.55000000000000004</v>
      </c>
      <c r="L177" s="61" t="str">
        <f t="shared" si="2"/>
        <v>BEARISH</v>
      </c>
    </row>
    <row r="178" spans="2:12" x14ac:dyDescent="0.25">
      <c r="B178" s="59">
        <v>44783.605450694442</v>
      </c>
      <c r="C178" s="60">
        <v>17532.349999999999</v>
      </c>
      <c r="D178" s="62">
        <v>22934900</v>
      </c>
      <c r="E178" s="62">
        <v>13307900</v>
      </c>
      <c r="F178" s="62">
        <v>16464863</v>
      </c>
      <c r="G178" s="62">
        <v>12994579</v>
      </c>
      <c r="H178" s="62">
        <v>-9627000</v>
      </c>
      <c r="I178" s="84">
        <v>23.6</v>
      </c>
      <c r="J178" s="84">
        <v>21.08</v>
      </c>
      <c r="K178" s="84">
        <v>0.55000000000000004</v>
      </c>
      <c r="L178" s="61" t="str">
        <f t="shared" si="2"/>
        <v>BEARISH</v>
      </c>
    </row>
    <row r="179" spans="2:12" x14ac:dyDescent="0.25">
      <c r="B179" s="59">
        <v>44783.605457175923</v>
      </c>
      <c r="C179" s="60">
        <v>17532.349999999999</v>
      </c>
      <c r="D179" s="62">
        <v>22934900</v>
      </c>
      <c r="E179" s="62">
        <v>13307900</v>
      </c>
      <c r="F179" s="62">
        <v>16464863</v>
      </c>
      <c r="G179" s="62">
        <v>12994579</v>
      </c>
      <c r="H179" s="62">
        <v>-9627000</v>
      </c>
      <c r="I179" s="84">
        <v>23.6</v>
      </c>
      <c r="J179" s="84">
        <v>21.08</v>
      </c>
      <c r="K179" s="84">
        <v>0.55000000000000004</v>
      </c>
      <c r="L179" s="61" t="str">
        <f t="shared" si="2"/>
        <v>BEARISH</v>
      </c>
    </row>
    <row r="180" spans="2:12" x14ac:dyDescent="0.25">
      <c r="B180" s="59">
        <v>44783.605468171299</v>
      </c>
      <c r="C180" s="60">
        <v>17532.349999999999</v>
      </c>
      <c r="D180" s="62">
        <v>22934900</v>
      </c>
      <c r="E180" s="62">
        <v>13307900</v>
      </c>
      <c r="F180" s="62">
        <v>16464863</v>
      </c>
      <c r="G180" s="62">
        <v>12994579</v>
      </c>
      <c r="H180" s="62">
        <v>-9627000</v>
      </c>
      <c r="I180" s="84">
        <v>23.6</v>
      </c>
      <c r="J180" s="84">
        <v>21.08</v>
      </c>
      <c r="K180" s="84">
        <v>0.55000000000000004</v>
      </c>
      <c r="L180" s="61" t="str">
        <f t="shared" si="2"/>
        <v>BEARISH</v>
      </c>
    </row>
    <row r="181" spans="2:12" x14ac:dyDescent="0.25">
      <c r="B181" s="59">
        <v>44783.605469444446</v>
      </c>
      <c r="C181" s="60">
        <v>17532.349999999999</v>
      </c>
      <c r="D181" s="62">
        <v>22934900</v>
      </c>
      <c r="E181" s="62">
        <v>13307900</v>
      </c>
      <c r="F181" s="62">
        <v>16464863</v>
      </c>
      <c r="G181" s="62">
        <v>12994579</v>
      </c>
      <c r="H181" s="62">
        <v>-9627000</v>
      </c>
      <c r="I181" s="84">
        <v>23.6</v>
      </c>
      <c r="J181" s="84">
        <v>21.08</v>
      </c>
      <c r="K181" s="84">
        <v>0.55000000000000004</v>
      </c>
      <c r="L181" s="61" t="str">
        <f t="shared" si="2"/>
        <v>BEARISH</v>
      </c>
    </row>
    <row r="182" spans="2:12" x14ac:dyDescent="0.25">
      <c r="B182" s="59">
        <v>44783.605483912041</v>
      </c>
      <c r="C182" s="60">
        <v>17532.349999999999</v>
      </c>
      <c r="D182" s="62">
        <v>22934900</v>
      </c>
      <c r="E182" s="62">
        <v>13307900</v>
      </c>
      <c r="F182" s="62">
        <v>16464863</v>
      </c>
      <c r="G182" s="62">
        <v>12994579</v>
      </c>
      <c r="H182" s="62">
        <v>-9627000</v>
      </c>
      <c r="I182" s="84">
        <v>23.6</v>
      </c>
      <c r="J182" s="84">
        <v>21.08</v>
      </c>
      <c r="K182" s="84">
        <v>0.55000000000000004</v>
      </c>
      <c r="L182" s="61" t="str">
        <f t="shared" si="2"/>
        <v>BEARISH</v>
      </c>
    </row>
    <row r="183" spans="2:12" x14ac:dyDescent="0.25">
      <c r="B183" s="59">
        <v>44783.607570717591</v>
      </c>
      <c r="C183" s="60">
        <v>17529.349999999999</v>
      </c>
      <c r="D183" s="62">
        <v>22348050</v>
      </c>
      <c r="E183" s="62">
        <v>13476350</v>
      </c>
      <c r="F183" s="62">
        <v>16721971</v>
      </c>
      <c r="G183" s="62">
        <v>13183474</v>
      </c>
      <c r="H183" s="62">
        <v>-8871700</v>
      </c>
      <c r="I183" s="84">
        <v>23.42</v>
      </c>
      <c r="J183" s="84">
        <v>20.49</v>
      </c>
      <c r="K183" s="84">
        <v>0.56000000000000005</v>
      </c>
      <c r="L183" s="61" t="str">
        <f t="shared" si="2"/>
        <v>BEARISH</v>
      </c>
    </row>
    <row r="184" spans="2:12" x14ac:dyDescent="0.25">
      <c r="B184" s="59">
        <v>44783.611758680556</v>
      </c>
      <c r="C184" s="60">
        <v>17528.3</v>
      </c>
      <c r="D184" s="62">
        <v>22507300</v>
      </c>
      <c r="E184" s="62">
        <v>13598650</v>
      </c>
      <c r="F184" s="62">
        <v>16973002</v>
      </c>
      <c r="G184" s="62">
        <v>13351508</v>
      </c>
      <c r="H184" s="62">
        <v>-8908650</v>
      </c>
      <c r="I184" s="84">
        <v>23.42</v>
      </c>
      <c r="J184" s="84">
        <v>20.49</v>
      </c>
      <c r="K184" s="84">
        <v>0.56000000000000005</v>
      </c>
      <c r="L184" s="61" t="str">
        <f t="shared" si="2"/>
        <v>BEARISH</v>
      </c>
    </row>
    <row r="185" spans="2:12" x14ac:dyDescent="0.25">
      <c r="B185" s="59">
        <v>44783.61239548611</v>
      </c>
      <c r="C185" s="60">
        <v>17528.3</v>
      </c>
      <c r="D185" s="62">
        <v>22507300</v>
      </c>
      <c r="E185" s="62">
        <v>13598650</v>
      </c>
      <c r="F185" s="62">
        <v>16973002</v>
      </c>
      <c r="G185" s="62">
        <v>13351508</v>
      </c>
      <c r="H185" s="62">
        <v>-8908650</v>
      </c>
      <c r="I185" s="84">
        <v>23.42</v>
      </c>
      <c r="J185" s="84">
        <v>20.49</v>
      </c>
      <c r="K185" s="84">
        <v>0.56000000000000005</v>
      </c>
      <c r="L185" s="61" t="str">
        <f t="shared" si="2"/>
        <v>BEARISH</v>
      </c>
    </row>
    <row r="186" spans="2:12" x14ac:dyDescent="0.25">
      <c r="B186" s="59">
        <v>44783.612398263889</v>
      </c>
      <c r="C186" s="60">
        <v>17528.3</v>
      </c>
      <c r="D186" s="62">
        <v>22507300</v>
      </c>
      <c r="E186" s="62">
        <v>13598650</v>
      </c>
      <c r="F186" s="62">
        <v>16973002</v>
      </c>
      <c r="G186" s="62">
        <v>13351508</v>
      </c>
      <c r="H186" s="62">
        <v>-8908650</v>
      </c>
      <c r="I186" s="84">
        <v>23.42</v>
      </c>
      <c r="J186" s="84">
        <v>20.49</v>
      </c>
      <c r="K186" s="84">
        <v>0.56000000000000005</v>
      </c>
      <c r="L186" s="61" t="str">
        <f t="shared" si="2"/>
        <v>BEARISH</v>
      </c>
    </row>
    <row r="187" spans="2:12" x14ac:dyDescent="0.25">
      <c r="B187" s="59">
        <v>44783.612400810183</v>
      </c>
      <c r="C187" s="60">
        <v>17528.3</v>
      </c>
      <c r="D187" s="62">
        <v>22507300</v>
      </c>
      <c r="E187" s="62">
        <v>13598650</v>
      </c>
      <c r="F187" s="62">
        <v>16973002</v>
      </c>
      <c r="G187" s="62">
        <v>13351508</v>
      </c>
      <c r="H187" s="62">
        <v>-8908650</v>
      </c>
      <c r="I187" s="84">
        <v>23.42</v>
      </c>
      <c r="J187" s="84">
        <v>20.49</v>
      </c>
      <c r="K187" s="84">
        <v>0.56000000000000005</v>
      </c>
      <c r="L187" s="61" t="str">
        <f t="shared" si="2"/>
        <v>BEARISH</v>
      </c>
    </row>
    <row r="188" spans="2:12" x14ac:dyDescent="0.25">
      <c r="B188" s="59">
        <v>44783.612403009261</v>
      </c>
      <c r="C188" s="60">
        <v>17528.3</v>
      </c>
      <c r="D188" s="62">
        <v>22507300</v>
      </c>
      <c r="E188" s="62">
        <v>13598650</v>
      </c>
      <c r="F188" s="62">
        <v>16973002</v>
      </c>
      <c r="G188" s="62">
        <v>13351508</v>
      </c>
      <c r="H188" s="62">
        <v>-8908650</v>
      </c>
      <c r="I188" s="84">
        <v>23.42</v>
      </c>
      <c r="J188" s="84">
        <v>20.49</v>
      </c>
      <c r="K188" s="84">
        <v>0.56000000000000005</v>
      </c>
      <c r="L188" s="61" t="str">
        <f t="shared" si="2"/>
        <v>BEARISH</v>
      </c>
    </row>
    <row r="189" spans="2:12" x14ac:dyDescent="0.25">
      <c r="B189" s="59">
        <v>44783.612405324071</v>
      </c>
      <c r="C189" s="60">
        <v>17528.3</v>
      </c>
      <c r="D189" s="62">
        <v>22507300</v>
      </c>
      <c r="E189" s="62">
        <v>13598650</v>
      </c>
      <c r="F189" s="62">
        <v>16973002</v>
      </c>
      <c r="G189" s="62">
        <v>13351508</v>
      </c>
      <c r="H189" s="62">
        <v>-8908650</v>
      </c>
      <c r="I189" s="84">
        <v>23.42</v>
      </c>
      <c r="J189" s="84">
        <v>20.49</v>
      </c>
      <c r="K189" s="84">
        <v>0.56000000000000005</v>
      </c>
      <c r="L189" s="61" t="str">
        <f t="shared" si="2"/>
        <v>BEARISH</v>
      </c>
    </row>
    <row r="190" spans="2:12" x14ac:dyDescent="0.25">
      <c r="B190" s="59">
        <v>44783.612415046293</v>
      </c>
      <c r="C190" s="60">
        <v>17528.3</v>
      </c>
      <c r="D190" s="62">
        <v>22507300</v>
      </c>
      <c r="E190" s="62">
        <v>13598650</v>
      </c>
      <c r="F190" s="62">
        <v>16973002</v>
      </c>
      <c r="G190" s="62">
        <v>13351508</v>
      </c>
      <c r="H190" s="62">
        <v>-8908650</v>
      </c>
      <c r="I190" s="84">
        <v>23.42</v>
      </c>
      <c r="J190" s="84">
        <v>20.49</v>
      </c>
      <c r="K190" s="84">
        <v>0.56000000000000005</v>
      </c>
      <c r="L190" s="61" t="str">
        <f t="shared" si="2"/>
        <v>BEARISH</v>
      </c>
    </row>
    <row r="191" spans="2:12" x14ac:dyDescent="0.25">
      <c r="B191" s="59">
        <v>44783.612418055556</v>
      </c>
      <c r="C191" s="60">
        <v>17528.3</v>
      </c>
      <c r="D191" s="62">
        <v>22507300</v>
      </c>
      <c r="E191" s="62">
        <v>13598650</v>
      </c>
      <c r="F191" s="62">
        <v>16973002</v>
      </c>
      <c r="G191" s="62">
        <v>13351508</v>
      </c>
      <c r="H191" s="62">
        <v>-8908650</v>
      </c>
      <c r="I191" s="84">
        <v>23.42</v>
      </c>
      <c r="J191" s="84">
        <v>20.49</v>
      </c>
      <c r="K191" s="84">
        <v>0.56000000000000005</v>
      </c>
      <c r="L191" s="61" t="str">
        <f t="shared" si="2"/>
        <v>BEARISH</v>
      </c>
    </row>
    <row r="192" spans="2:12" x14ac:dyDescent="0.25">
      <c r="B192" s="59">
        <v>44783.612422916667</v>
      </c>
      <c r="C192" s="60">
        <v>17528.3</v>
      </c>
      <c r="D192" s="62">
        <v>22507300</v>
      </c>
      <c r="E192" s="62">
        <v>13598650</v>
      </c>
      <c r="F192" s="62">
        <v>16973002</v>
      </c>
      <c r="G192" s="62">
        <v>13351508</v>
      </c>
      <c r="H192" s="62">
        <v>-8908650</v>
      </c>
      <c r="I192" s="84">
        <v>23.42</v>
      </c>
      <c r="J192" s="84">
        <v>20.49</v>
      </c>
      <c r="K192" s="84">
        <v>0.56000000000000005</v>
      </c>
      <c r="L192" s="61" t="str">
        <f t="shared" si="2"/>
        <v>BEARISH</v>
      </c>
    </row>
    <row r="193" spans="2:12" x14ac:dyDescent="0.25">
      <c r="B193" s="59">
        <v>44783.615854976852</v>
      </c>
      <c r="C193" s="60">
        <v>17525.3</v>
      </c>
      <c r="D193" s="62">
        <v>22715300</v>
      </c>
      <c r="E193" s="62">
        <v>13494300</v>
      </c>
      <c r="F193" s="62">
        <v>17268484</v>
      </c>
      <c r="G193" s="62">
        <v>13585951</v>
      </c>
      <c r="H193" s="62">
        <v>-9221000</v>
      </c>
      <c r="I193" s="84">
        <v>22.59</v>
      </c>
      <c r="J193" s="84">
        <v>20.73</v>
      </c>
      <c r="K193" s="84">
        <v>0.55000000000000004</v>
      </c>
      <c r="L193" s="61" t="str">
        <f t="shared" si="2"/>
        <v>BEARISH</v>
      </c>
    </row>
    <row r="194" spans="2:12" x14ac:dyDescent="0.25">
      <c r="B194" s="59">
        <v>44783.617917708332</v>
      </c>
      <c r="C194" s="60">
        <v>17528</v>
      </c>
      <c r="D194" s="62">
        <v>22787500</v>
      </c>
      <c r="E194" s="62">
        <v>13377250</v>
      </c>
      <c r="F194" s="62">
        <v>17333182</v>
      </c>
      <c r="G194" s="62">
        <v>13632378</v>
      </c>
      <c r="H194" s="62">
        <v>-9410250</v>
      </c>
      <c r="I194" s="84">
        <v>22.59</v>
      </c>
      <c r="J194" s="84">
        <v>20.73</v>
      </c>
      <c r="K194" s="84">
        <v>0.55000000000000004</v>
      </c>
      <c r="L194" s="61" t="str">
        <f t="shared" si="2"/>
        <v>BEARISH</v>
      </c>
    </row>
    <row r="195" spans="2:12" x14ac:dyDescent="0.25">
      <c r="B195" s="59">
        <v>44783.619349421293</v>
      </c>
      <c r="C195" s="60">
        <v>17528</v>
      </c>
      <c r="D195" s="62">
        <v>22787500</v>
      </c>
      <c r="E195" s="62">
        <v>13377250</v>
      </c>
      <c r="F195" s="62">
        <v>17333182</v>
      </c>
      <c r="G195" s="62">
        <v>13632378</v>
      </c>
      <c r="H195" s="62">
        <v>-9410250</v>
      </c>
      <c r="I195" s="84">
        <v>22.59</v>
      </c>
      <c r="J195" s="84">
        <v>20.73</v>
      </c>
      <c r="K195" s="84">
        <v>0.55000000000000004</v>
      </c>
      <c r="L195" s="61" t="str">
        <f t="shared" si="2"/>
        <v>BEARISH</v>
      </c>
    </row>
    <row r="196" spans="2:12" x14ac:dyDescent="0.25">
      <c r="B196" s="59">
        <v>44783.619351041663</v>
      </c>
      <c r="C196" s="60">
        <v>17528</v>
      </c>
      <c r="D196" s="62">
        <v>22787500</v>
      </c>
      <c r="E196" s="62">
        <v>13377250</v>
      </c>
      <c r="F196" s="62">
        <v>17333182</v>
      </c>
      <c r="G196" s="62">
        <v>13632378</v>
      </c>
      <c r="H196" s="62">
        <v>-9410250</v>
      </c>
      <c r="I196" s="84">
        <v>22.59</v>
      </c>
      <c r="J196" s="84">
        <v>20.73</v>
      </c>
      <c r="K196" s="84">
        <v>0.55000000000000004</v>
      </c>
      <c r="L196" s="61" t="str">
        <f t="shared" si="2"/>
        <v>BEARISH</v>
      </c>
    </row>
    <row r="197" spans="2:12" x14ac:dyDescent="0.25">
      <c r="B197" s="59">
        <v>44783.619353125003</v>
      </c>
      <c r="C197" s="60">
        <v>17528</v>
      </c>
      <c r="D197" s="62">
        <v>22787500</v>
      </c>
      <c r="E197" s="62">
        <v>13377250</v>
      </c>
      <c r="F197" s="62">
        <v>17333182</v>
      </c>
      <c r="G197" s="62">
        <v>13632378</v>
      </c>
      <c r="H197" s="62">
        <v>-9410250</v>
      </c>
      <c r="I197" s="84">
        <v>22.59</v>
      </c>
      <c r="J197" s="84">
        <v>20.73</v>
      </c>
      <c r="K197" s="84">
        <v>0.55000000000000004</v>
      </c>
      <c r="L197" s="61" t="str">
        <f t="shared" si="2"/>
        <v>BEARISH</v>
      </c>
    </row>
    <row r="198" spans="2:12" x14ac:dyDescent="0.25">
      <c r="B198" s="59">
        <v>44783.61935497685</v>
      </c>
      <c r="C198" s="60">
        <v>17528</v>
      </c>
      <c r="D198" s="62">
        <v>22787500</v>
      </c>
      <c r="E198" s="62">
        <v>13377250</v>
      </c>
      <c r="F198" s="62">
        <v>17333182</v>
      </c>
      <c r="G198" s="62">
        <v>13632378</v>
      </c>
      <c r="H198" s="62">
        <v>-9410250</v>
      </c>
      <c r="I198" s="84">
        <v>22.59</v>
      </c>
      <c r="J198" s="84">
        <v>20.73</v>
      </c>
      <c r="K198" s="84">
        <v>0.55000000000000004</v>
      </c>
      <c r="L198" s="61" t="str">
        <f t="shared" si="2"/>
        <v>BEARISH</v>
      </c>
    </row>
    <row r="199" spans="2:12" x14ac:dyDescent="0.25">
      <c r="B199" s="59">
        <v>44783.619356481482</v>
      </c>
      <c r="C199" s="60">
        <v>17528</v>
      </c>
      <c r="D199" s="62">
        <v>22787500</v>
      </c>
      <c r="E199" s="62">
        <v>13377250</v>
      </c>
      <c r="F199" s="62">
        <v>17333182</v>
      </c>
      <c r="G199" s="62">
        <v>13632378</v>
      </c>
      <c r="H199" s="62">
        <v>-9410250</v>
      </c>
      <c r="I199" s="84">
        <v>22.59</v>
      </c>
      <c r="J199" s="84">
        <v>20.73</v>
      </c>
      <c r="K199" s="84">
        <v>0.55000000000000004</v>
      </c>
      <c r="L199" s="61" t="str">
        <f t="shared" si="2"/>
        <v>BEARISH</v>
      </c>
    </row>
    <row r="200" spans="2:12" x14ac:dyDescent="0.25">
      <c r="B200" s="59">
        <v>44783.61935833333</v>
      </c>
      <c r="C200" s="60">
        <v>17528</v>
      </c>
      <c r="D200" s="62">
        <v>22787500</v>
      </c>
      <c r="E200" s="62">
        <v>13377250</v>
      </c>
      <c r="F200" s="62">
        <v>17333182</v>
      </c>
      <c r="G200" s="62">
        <v>13632378</v>
      </c>
      <c r="H200" s="62">
        <v>-9410250</v>
      </c>
      <c r="I200" s="84">
        <v>22.59</v>
      </c>
      <c r="J200" s="84">
        <v>20.73</v>
      </c>
      <c r="K200" s="84">
        <v>0.55000000000000004</v>
      </c>
      <c r="L200" s="61" t="str">
        <f t="shared" si="2"/>
        <v>BEARISH</v>
      </c>
    </row>
    <row r="201" spans="2:12" x14ac:dyDescent="0.25">
      <c r="B201" s="59">
        <v>44783.619360648147</v>
      </c>
      <c r="C201" s="60">
        <v>17528</v>
      </c>
      <c r="D201" s="62">
        <v>22787500</v>
      </c>
      <c r="E201" s="62">
        <v>13377250</v>
      </c>
      <c r="F201" s="62">
        <v>17333182</v>
      </c>
      <c r="G201" s="62">
        <v>13632378</v>
      </c>
      <c r="H201" s="62">
        <v>-9410250</v>
      </c>
      <c r="I201" s="84">
        <v>22.59</v>
      </c>
      <c r="J201" s="84">
        <v>20.73</v>
      </c>
      <c r="K201" s="84">
        <v>0.55000000000000004</v>
      </c>
      <c r="L201" s="61" t="str">
        <f t="shared" si="2"/>
        <v>BEARISH</v>
      </c>
    </row>
    <row r="202" spans="2:12" x14ac:dyDescent="0.25">
      <c r="B202" s="59">
        <v>44783.619373726855</v>
      </c>
      <c r="C202" s="60">
        <v>17528</v>
      </c>
      <c r="D202" s="62">
        <v>22787500</v>
      </c>
      <c r="E202" s="62">
        <v>13377250</v>
      </c>
      <c r="F202" s="62">
        <v>17333182</v>
      </c>
      <c r="G202" s="62">
        <v>13632378</v>
      </c>
      <c r="H202" s="62">
        <v>-9410250</v>
      </c>
      <c r="I202" s="84">
        <v>22.59</v>
      </c>
      <c r="J202" s="84">
        <v>20.73</v>
      </c>
      <c r="K202" s="84">
        <v>0.55000000000000004</v>
      </c>
      <c r="L202" s="61" t="str">
        <f t="shared" si="2"/>
        <v>BEARISH</v>
      </c>
    </row>
    <row r="203" spans="2:12" x14ac:dyDescent="0.25">
      <c r="B203" s="59"/>
      <c r="C203" s="60"/>
      <c r="D203" s="62"/>
      <c r="E203" s="62"/>
      <c r="F203" s="62"/>
      <c r="G203" s="62"/>
      <c r="H203" s="62"/>
      <c r="I203" s="84"/>
      <c r="J203" s="84"/>
      <c r="K203" s="84"/>
      <c r="L203" s="61" t="str">
        <f t="shared" si="2"/>
        <v>NOT CONCLUSIVE</v>
      </c>
    </row>
    <row r="204" spans="2:12" x14ac:dyDescent="0.25">
      <c r="B204" s="59"/>
      <c r="C204" s="60"/>
      <c r="D204" s="62"/>
      <c r="E204" s="62"/>
      <c r="F204" s="62"/>
      <c r="G204" s="62"/>
      <c r="H204" s="62"/>
      <c r="I204" s="84"/>
      <c r="J204" s="84"/>
      <c r="K204" s="84"/>
      <c r="L204" s="61" t="str">
        <f t="shared" si="2"/>
        <v>NOT CONCLUSIVE</v>
      </c>
    </row>
    <row r="205" spans="2:12" x14ac:dyDescent="0.25">
      <c r="B205" s="59"/>
      <c r="C205" s="60"/>
      <c r="D205" s="62"/>
      <c r="E205" s="62"/>
      <c r="F205" s="62"/>
      <c r="G205" s="62"/>
      <c r="H205" s="62"/>
      <c r="I205" s="84"/>
      <c r="J205" s="84"/>
      <c r="K205" s="84"/>
      <c r="L205" s="61" t="str">
        <f t="shared" si="2"/>
        <v>NOT CONCLUSIVE</v>
      </c>
    </row>
    <row r="206" spans="2:12" x14ac:dyDescent="0.25">
      <c r="B206" s="59"/>
      <c r="C206" s="60"/>
      <c r="D206" s="62"/>
      <c r="E206" s="62"/>
      <c r="F206" s="62"/>
      <c r="G206" s="62"/>
      <c r="H206" s="62"/>
      <c r="I206" s="84"/>
      <c r="J206" s="84"/>
      <c r="K206" s="84"/>
      <c r="L206" s="61" t="str">
        <f t="shared" si="2"/>
        <v>NOT CONCLUSIVE</v>
      </c>
    </row>
    <row r="207" spans="2:12" x14ac:dyDescent="0.25">
      <c r="B207" s="59"/>
      <c r="C207" s="60"/>
      <c r="D207" s="62"/>
      <c r="E207" s="62"/>
      <c r="F207" s="62"/>
      <c r="G207" s="62"/>
      <c r="H207" s="62"/>
      <c r="I207" s="84"/>
      <c r="J207" s="84"/>
      <c r="K207" s="84"/>
      <c r="L207" s="61" t="str">
        <f t="shared" si="2"/>
        <v>NOT CONCLUSIVE</v>
      </c>
    </row>
    <row r="208" spans="2:12" x14ac:dyDescent="0.25">
      <c r="B208" s="59"/>
      <c r="C208" s="60"/>
      <c r="D208" s="62"/>
      <c r="E208" s="62"/>
      <c r="F208" s="62"/>
      <c r="G208" s="62"/>
      <c r="H208" s="62"/>
      <c r="I208" s="84"/>
      <c r="J208" s="84"/>
      <c r="K208" s="84"/>
      <c r="L208" s="61" t="str">
        <f t="shared" si="2"/>
        <v>NOT CONCLUSIVE</v>
      </c>
    </row>
    <row r="209" spans="2:12" x14ac:dyDescent="0.25">
      <c r="B209" s="59"/>
      <c r="C209" s="60"/>
      <c r="D209" s="62"/>
      <c r="E209" s="62"/>
      <c r="F209" s="62"/>
      <c r="G209" s="62"/>
      <c r="H209" s="62"/>
      <c r="I209" s="84"/>
      <c r="J209" s="84"/>
      <c r="K209" s="84"/>
      <c r="L209" s="61" t="str">
        <f t="shared" si="2"/>
        <v>NOT CONCLUSIVE</v>
      </c>
    </row>
    <row r="210" spans="2:12" x14ac:dyDescent="0.25">
      <c r="B210" s="59"/>
      <c r="C210" s="60"/>
      <c r="D210" s="62"/>
      <c r="E210" s="62"/>
      <c r="F210" s="62"/>
      <c r="G210" s="62"/>
      <c r="H210" s="62"/>
      <c r="I210" s="84"/>
      <c r="J210" s="84"/>
      <c r="K210" s="84"/>
      <c r="L210" s="61" t="str">
        <f t="shared" si="2"/>
        <v>NOT CONCLUSIVE</v>
      </c>
    </row>
    <row r="211" spans="2:12" x14ac:dyDescent="0.25">
      <c r="B211" s="59"/>
      <c r="C211" s="60"/>
      <c r="D211" s="62"/>
      <c r="E211" s="62"/>
      <c r="F211" s="62"/>
      <c r="G211" s="62"/>
      <c r="H211" s="62"/>
      <c r="I211" s="84"/>
      <c r="J211" s="84"/>
      <c r="K211" s="84"/>
      <c r="L211" s="61" t="str">
        <f t="shared" si="2"/>
        <v>NOT CONCLUSIVE</v>
      </c>
    </row>
    <row r="212" spans="2:12" x14ac:dyDescent="0.25">
      <c r="B212" s="59"/>
      <c r="C212" s="60"/>
      <c r="D212" s="62"/>
      <c r="E212" s="62"/>
      <c r="F212" s="62"/>
      <c r="G212" s="62"/>
      <c r="H212" s="62"/>
      <c r="I212" s="84"/>
      <c r="J212" s="84"/>
      <c r="K212" s="84"/>
      <c r="L212" s="61" t="str">
        <f t="shared" si="2"/>
        <v>NOT CONCLUSIVE</v>
      </c>
    </row>
    <row r="213" spans="2:12" x14ac:dyDescent="0.25">
      <c r="B213" s="59"/>
      <c r="C213" s="60"/>
      <c r="D213" s="62"/>
      <c r="E213" s="62"/>
      <c r="F213" s="62"/>
      <c r="G213" s="62"/>
      <c r="H213" s="62"/>
      <c r="I213" s="84"/>
      <c r="J213" s="84"/>
      <c r="K213" s="84"/>
      <c r="L213" s="61" t="str">
        <f t="shared" si="2"/>
        <v>NOT CONCLUSIVE</v>
      </c>
    </row>
    <row r="214" spans="2:12" x14ac:dyDescent="0.25">
      <c r="B214" s="59"/>
      <c r="C214" s="60"/>
      <c r="D214" s="62"/>
      <c r="E214" s="62"/>
      <c r="F214" s="62"/>
      <c r="G214" s="62"/>
      <c r="H214" s="62"/>
      <c r="I214" s="84"/>
      <c r="J214" s="84"/>
      <c r="K214" s="84"/>
      <c r="L214" s="61" t="str">
        <f t="shared" ref="L214:L277" si="3">IF(D214&gt;E214,"BEARISH",IF(D214&lt;E214,"BULLISH","NOT CONCLUSIVE"))</f>
        <v>NOT CONCLUSIVE</v>
      </c>
    </row>
    <row r="215" spans="2:12" x14ac:dyDescent="0.25">
      <c r="B215" s="59"/>
      <c r="C215" s="60"/>
      <c r="D215" s="62"/>
      <c r="E215" s="62"/>
      <c r="F215" s="62"/>
      <c r="G215" s="62"/>
      <c r="H215" s="62"/>
      <c r="I215" s="84"/>
      <c r="J215" s="84"/>
      <c r="K215" s="84"/>
      <c r="L215" s="61" t="str">
        <f t="shared" si="3"/>
        <v>NOT CONCLUSIVE</v>
      </c>
    </row>
    <row r="216" spans="2:12" x14ac:dyDescent="0.25">
      <c r="B216" s="59"/>
      <c r="C216" s="60"/>
      <c r="D216" s="62"/>
      <c r="E216" s="62"/>
      <c r="F216" s="62"/>
      <c r="G216" s="62"/>
      <c r="H216" s="62"/>
      <c r="I216" s="84"/>
      <c r="J216" s="84"/>
      <c r="K216" s="84"/>
      <c r="L216" s="61" t="str">
        <f t="shared" si="3"/>
        <v>NOT CONCLUSIVE</v>
      </c>
    </row>
    <row r="217" spans="2:12" x14ac:dyDescent="0.25">
      <c r="B217" s="59"/>
      <c r="C217" s="60"/>
      <c r="D217" s="62"/>
      <c r="E217" s="62"/>
      <c r="F217" s="62"/>
      <c r="G217" s="62"/>
      <c r="H217" s="62"/>
      <c r="I217" s="84"/>
      <c r="J217" s="84"/>
      <c r="K217" s="84"/>
      <c r="L217" s="61" t="str">
        <f t="shared" si="3"/>
        <v>NOT CONCLUSIVE</v>
      </c>
    </row>
    <row r="218" spans="2:12" x14ac:dyDescent="0.25">
      <c r="B218" s="59"/>
      <c r="C218" s="60"/>
      <c r="D218" s="62"/>
      <c r="E218" s="62"/>
      <c r="F218" s="62"/>
      <c r="G218" s="62"/>
      <c r="H218" s="62"/>
      <c r="I218" s="84"/>
      <c r="J218" s="84"/>
      <c r="K218" s="84"/>
      <c r="L218" s="61" t="str">
        <f t="shared" si="3"/>
        <v>NOT CONCLUSIVE</v>
      </c>
    </row>
    <row r="219" spans="2:12" x14ac:dyDescent="0.25">
      <c r="B219" s="59"/>
      <c r="C219" s="60"/>
      <c r="D219" s="62"/>
      <c r="E219" s="62"/>
      <c r="F219" s="62"/>
      <c r="G219" s="62"/>
      <c r="H219" s="62"/>
      <c r="I219" s="84"/>
      <c r="J219" s="84"/>
      <c r="K219" s="84"/>
      <c r="L219" s="61" t="str">
        <f t="shared" si="3"/>
        <v>NOT CONCLUSIVE</v>
      </c>
    </row>
    <row r="220" spans="2:12" x14ac:dyDescent="0.25">
      <c r="B220" s="59"/>
      <c r="C220" s="60"/>
      <c r="D220" s="62"/>
      <c r="E220" s="62"/>
      <c r="F220" s="62"/>
      <c r="G220" s="62"/>
      <c r="H220" s="62"/>
      <c r="I220" s="84"/>
      <c r="J220" s="84"/>
      <c r="K220" s="84"/>
      <c r="L220" s="61" t="str">
        <f t="shared" si="3"/>
        <v>NOT CONCLUSIVE</v>
      </c>
    </row>
    <row r="221" spans="2:12" x14ac:dyDescent="0.25">
      <c r="B221" s="59"/>
      <c r="C221" s="60"/>
      <c r="D221" s="62"/>
      <c r="E221" s="62"/>
      <c r="F221" s="62"/>
      <c r="G221" s="62"/>
      <c r="H221" s="62"/>
      <c r="I221" s="84"/>
      <c r="J221" s="84"/>
      <c r="K221" s="84"/>
      <c r="L221" s="61" t="str">
        <f t="shared" si="3"/>
        <v>NOT CONCLUSIVE</v>
      </c>
    </row>
    <row r="222" spans="2:12" x14ac:dyDescent="0.25">
      <c r="B222" s="59"/>
      <c r="C222" s="60"/>
      <c r="D222" s="62"/>
      <c r="E222" s="62"/>
      <c r="F222" s="62"/>
      <c r="G222" s="62"/>
      <c r="H222" s="62"/>
      <c r="I222" s="84"/>
      <c r="J222" s="84"/>
      <c r="K222" s="84"/>
      <c r="L222" s="61" t="str">
        <f t="shared" si="3"/>
        <v>NOT CONCLUSIVE</v>
      </c>
    </row>
    <row r="223" spans="2:12" x14ac:dyDescent="0.25">
      <c r="B223" s="59"/>
      <c r="C223" s="60"/>
      <c r="D223" s="62"/>
      <c r="E223" s="62"/>
      <c r="F223" s="62"/>
      <c r="G223" s="62"/>
      <c r="H223" s="62"/>
      <c r="I223" s="84"/>
      <c r="J223" s="84"/>
      <c r="K223" s="84"/>
      <c r="L223" s="61" t="str">
        <f t="shared" si="3"/>
        <v>NOT CONCLUSIVE</v>
      </c>
    </row>
    <row r="224" spans="2:12" x14ac:dyDescent="0.25">
      <c r="B224" s="59"/>
      <c r="C224" s="60"/>
      <c r="D224" s="62"/>
      <c r="E224" s="62"/>
      <c r="F224" s="62"/>
      <c r="G224" s="62"/>
      <c r="H224" s="62"/>
      <c r="I224" s="84"/>
      <c r="J224" s="84"/>
      <c r="K224" s="84"/>
      <c r="L224" s="61" t="str">
        <f t="shared" si="3"/>
        <v>NOT CONCLUSIVE</v>
      </c>
    </row>
    <row r="225" spans="2:12" x14ac:dyDescent="0.25">
      <c r="B225" s="59"/>
      <c r="C225" s="60"/>
      <c r="D225" s="62"/>
      <c r="E225" s="62"/>
      <c r="F225" s="62"/>
      <c r="G225" s="62"/>
      <c r="H225" s="62"/>
      <c r="I225" s="84"/>
      <c r="J225" s="84"/>
      <c r="K225" s="84"/>
      <c r="L225" s="61" t="str">
        <f t="shared" si="3"/>
        <v>NOT CONCLUSIVE</v>
      </c>
    </row>
    <row r="226" spans="2:12" x14ac:dyDescent="0.25">
      <c r="B226" s="59"/>
      <c r="C226" s="60"/>
      <c r="D226" s="62"/>
      <c r="E226" s="62"/>
      <c r="F226" s="62"/>
      <c r="G226" s="62"/>
      <c r="H226" s="62"/>
      <c r="I226" s="84"/>
      <c r="J226" s="84"/>
      <c r="K226" s="84"/>
      <c r="L226" s="61" t="str">
        <f t="shared" si="3"/>
        <v>NOT CONCLUSIVE</v>
      </c>
    </row>
    <row r="227" spans="2:12" x14ac:dyDescent="0.25">
      <c r="B227" s="59"/>
      <c r="C227" s="60"/>
      <c r="D227" s="62"/>
      <c r="E227" s="62"/>
      <c r="F227" s="62"/>
      <c r="G227" s="62"/>
      <c r="H227" s="62"/>
      <c r="I227" s="84"/>
      <c r="J227" s="84"/>
      <c r="K227" s="84"/>
      <c r="L227" s="61" t="str">
        <f t="shared" si="3"/>
        <v>NOT CONCLUSIVE</v>
      </c>
    </row>
    <row r="228" spans="2:12" x14ac:dyDescent="0.25">
      <c r="B228" s="59"/>
      <c r="C228" s="60"/>
      <c r="D228" s="62"/>
      <c r="E228" s="62"/>
      <c r="F228" s="62"/>
      <c r="G228" s="62"/>
      <c r="H228" s="62"/>
      <c r="I228" s="84"/>
      <c r="J228" s="84"/>
      <c r="K228" s="84"/>
      <c r="L228" s="61" t="str">
        <f t="shared" si="3"/>
        <v>NOT CONCLUSIVE</v>
      </c>
    </row>
    <row r="229" spans="2:12" x14ac:dyDescent="0.25">
      <c r="B229" s="59"/>
      <c r="C229" s="60"/>
      <c r="D229" s="62"/>
      <c r="E229" s="62"/>
      <c r="F229" s="62"/>
      <c r="G229" s="62"/>
      <c r="H229" s="62"/>
      <c r="I229" s="84"/>
      <c r="J229" s="84"/>
      <c r="K229" s="84"/>
      <c r="L229" s="61" t="str">
        <f t="shared" si="3"/>
        <v>NOT CONCLUSIVE</v>
      </c>
    </row>
    <row r="230" spans="2:12" x14ac:dyDescent="0.25">
      <c r="B230" s="59"/>
      <c r="C230" s="60"/>
      <c r="D230" s="62"/>
      <c r="E230" s="62"/>
      <c r="F230" s="62"/>
      <c r="G230" s="62"/>
      <c r="H230" s="62"/>
      <c r="I230" s="84"/>
      <c r="J230" s="84"/>
      <c r="K230" s="84"/>
      <c r="L230" s="61" t="str">
        <f t="shared" si="3"/>
        <v>NOT CONCLUSIVE</v>
      </c>
    </row>
    <row r="231" spans="2:12" x14ac:dyDescent="0.25">
      <c r="B231" s="59"/>
      <c r="C231" s="60"/>
      <c r="D231" s="62"/>
      <c r="E231" s="62"/>
      <c r="F231" s="62"/>
      <c r="G231" s="62"/>
      <c r="H231" s="62"/>
      <c r="I231" s="84"/>
      <c r="J231" s="84"/>
      <c r="K231" s="84"/>
      <c r="L231" s="61" t="str">
        <f t="shared" si="3"/>
        <v>NOT CONCLUSIVE</v>
      </c>
    </row>
    <row r="232" spans="2:12" x14ac:dyDescent="0.25">
      <c r="B232" s="59"/>
      <c r="C232" s="60"/>
      <c r="D232" s="62"/>
      <c r="E232" s="62"/>
      <c r="F232" s="62"/>
      <c r="G232" s="62"/>
      <c r="H232" s="62"/>
      <c r="I232" s="84"/>
      <c r="J232" s="84"/>
      <c r="K232" s="84"/>
      <c r="L232" s="61" t="str">
        <f t="shared" si="3"/>
        <v>NOT CONCLUSIVE</v>
      </c>
    </row>
    <row r="233" spans="2:12" x14ac:dyDescent="0.25">
      <c r="B233" s="59"/>
      <c r="C233" s="60"/>
      <c r="D233" s="62"/>
      <c r="E233" s="62"/>
      <c r="F233" s="62"/>
      <c r="G233" s="62"/>
      <c r="H233" s="62"/>
      <c r="I233" s="84"/>
      <c r="J233" s="84"/>
      <c r="K233" s="84"/>
      <c r="L233" s="61" t="str">
        <f t="shared" si="3"/>
        <v>NOT CONCLUSIVE</v>
      </c>
    </row>
    <row r="234" spans="2:12" x14ac:dyDescent="0.25">
      <c r="B234" s="59"/>
      <c r="C234" s="60"/>
      <c r="D234" s="62"/>
      <c r="E234" s="62"/>
      <c r="F234" s="62"/>
      <c r="G234" s="62"/>
      <c r="H234" s="62"/>
      <c r="I234" s="84"/>
      <c r="J234" s="84"/>
      <c r="K234" s="84"/>
      <c r="L234" s="61" t="str">
        <f t="shared" si="3"/>
        <v>NOT CONCLUSIVE</v>
      </c>
    </row>
    <row r="235" spans="2:12" x14ac:dyDescent="0.25">
      <c r="B235" s="59"/>
      <c r="C235" s="60"/>
      <c r="D235" s="62"/>
      <c r="E235" s="62"/>
      <c r="F235" s="62"/>
      <c r="G235" s="62"/>
      <c r="H235" s="62"/>
      <c r="I235" s="84"/>
      <c r="J235" s="84"/>
      <c r="K235" s="84"/>
      <c r="L235" s="61" t="str">
        <f t="shared" si="3"/>
        <v>NOT CONCLUSIVE</v>
      </c>
    </row>
    <row r="236" spans="2:12" x14ac:dyDescent="0.25">
      <c r="B236" s="59"/>
      <c r="C236" s="60"/>
      <c r="D236" s="62"/>
      <c r="E236" s="62"/>
      <c r="F236" s="62"/>
      <c r="G236" s="62"/>
      <c r="H236" s="62"/>
      <c r="I236" s="84"/>
      <c r="J236" s="84"/>
      <c r="K236" s="84"/>
      <c r="L236" s="61" t="str">
        <f t="shared" si="3"/>
        <v>NOT CONCLUSIVE</v>
      </c>
    </row>
    <row r="237" spans="2:12" x14ac:dyDescent="0.25">
      <c r="B237" s="59"/>
      <c r="C237" s="60"/>
      <c r="D237" s="62"/>
      <c r="E237" s="62"/>
      <c r="F237" s="62"/>
      <c r="G237" s="62"/>
      <c r="H237" s="62"/>
      <c r="I237" s="84"/>
      <c r="J237" s="84"/>
      <c r="K237" s="84"/>
      <c r="L237" s="61" t="str">
        <f t="shared" si="3"/>
        <v>NOT CONCLUSIVE</v>
      </c>
    </row>
    <row r="238" spans="2:12" x14ac:dyDescent="0.25">
      <c r="B238" s="59"/>
      <c r="C238" s="60"/>
      <c r="D238" s="62"/>
      <c r="E238" s="62"/>
      <c r="F238" s="62"/>
      <c r="G238" s="62"/>
      <c r="H238" s="62"/>
      <c r="I238" s="84"/>
      <c r="J238" s="84"/>
      <c r="K238" s="84"/>
      <c r="L238" s="61" t="str">
        <f t="shared" si="3"/>
        <v>NOT CONCLUSIVE</v>
      </c>
    </row>
    <row r="239" spans="2:12" x14ac:dyDescent="0.25">
      <c r="B239" s="59"/>
      <c r="C239" s="60"/>
      <c r="D239" s="62"/>
      <c r="E239" s="62"/>
      <c r="F239" s="62"/>
      <c r="G239" s="62"/>
      <c r="H239" s="62"/>
      <c r="I239" s="84"/>
      <c r="J239" s="84"/>
      <c r="K239" s="84"/>
      <c r="L239" s="61" t="str">
        <f t="shared" si="3"/>
        <v>NOT CONCLUSIVE</v>
      </c>
    </row>
    <row r="240" spans="2:12" x14ac:dyDescent="0.25">
      <c r="B240" s="59"/>
      <c r="C240" s="60"/>
      <c r="D240" s="62"/>
      <c r="E240" s="62"/>
      <c r="F240" s="62"/>
      <c r="G240" s="62"/>
      <c r="H240" s="62"/>
      <c r="I240" s="84"/>
      <c r="J240" s="84"/>
      <c r="K240" s="84"/>
      <c r="L240" s="61" t="str">
        <f t="shared" si="3"/>
        <v>NOT CONCLUSIVE</v>
      </c>
    </row>
    <row r="241" spans="2:12" x14ac:dyDescent="0.25">
      <c r="B241" s="59"/>
      <c r="C241" s="60"/>
      <c r="D241" s="62"/>
      <c r="E241" s="62"/>
      <c r="F241" s="62"/>
      <c r="G241" s="62"/>
      <c r="H241" s="62"/>
      <c r="I241" s="84"/>
      <c r="J241" s="84"/>
      <c r="K241" s="84"/>
      <c r="L241" s="61" t="str">
        <f t="shared" si="3"/>
        <v>NOT CONCLUSIVE</v>
      </c>
    </row>
    <row r="242" spans="2:12" x14ac:dyDescent="0.25">
      <c r="B242" s="59"/>
      <c r="C242" s="60"/>
      <c r="D242" s="62"/>
      <c r="E242" s="62"/>
      <c r="F242" s="62"/>
      <c r="G242" s="62"/>
      <c r="H242" s="62"/>
      <c r="I242" s="84"/>
      <c r="J242" s="84"/>
      <c r="K242" s="84"/>
      <c r="L242" s="61" t="str">
        <f t="shared" si="3"/>
        <v>NOT CONCLUSIVE</v>
      </c>
    </row>
    <row r="243" spans="2:12" x14ac:dyDescent="0.25">
      <c r="B243" s="59"/>
      <c r="C243" s="60"/>
      <c r="D243" s="62"/>
      <c r="E243" s="62"/>
      <c r="F243" s="62"/>
      <c r="G243" s="62"/>
      <c r="H243" s="62"/>
      <c r="I243" s="84"/>
      <c r="J243" s="84"/>
      <c r="K243" s="84"/>
      <c r="L243" s="61" t="str">
        <f t="shared" si="3"/>
        <v>NOT CONCLUSIVE</v>
      </c>
    </row>
    <row r="244" spans="2:12" x14ac:dyDescent="0.25">
      <c r="B244" s="59"/>
      <c r="C244" s="60"/>
      <c r="D244" s="62"/>
      <c r="E244" s="62"/>
      <c r="F244" s="62"/>
      <c r="G244" s="62"/>
      <c r="H244" s="62"/>
      <c r="I244" s="84"/>
      <c r="J244" s="84"/>
      <c r="K244" s="84"/>
      <c r="L244" s="61" t="str">
        <f t="shared" si="3"/>
        <v>NOT CONCLUSIVE</v>
      </c>
    </row>
    <row r="245" spans="2:12" x14ac:dyDescent="0.25">
      <c r="B245" s="59"/>
      <c r="C245" s="60"/>
      <c r="D245" s="62"/>
      <c r="E245" s="62"/>
      <c r="F245" s="62"/>
      <c r="G245" s="62"/>
      <c r="H245" s="62"/>
      <c r="I245" s="84"/>
      <c r="J245" s="84"/>
      <c r="K245" s="84"/>
      <c r="L245" s="61" t="str">
        <f t="shared" si="3"/>
        <v>NOT CONCLUSIVE</v>
      </c>
    </row>
    <row r="246" spans="2:12" x14ac:dyDescent="0.25">
      <c r="B246" s="59"/>
      <c r="C246" s="60"/>
      <c r="D246" s="62"/>
      <c r="E246" s="62"/>
      <c r="F246" s="62"/>
      <c r="G246" s="62"/>
      <c r="H246" s="62"/>
      <c r="I246" s="84"/>
      <c r="J246" s="84"/>
      <c r="K246" s="84"/>
      <c r="L246" s="61" t="str">
        <f t="shared" si="3"/>
        <v>NOT CONCLUSIVE</v>
      </c>
    </row>
    <row r="247" spans="2:12" x14ac:dyDescent="0.25">
      <c r="B247" s="59"/>
      <c r="C247" s="60"/>
      <c r="D247" s="62"/>
      <c r="E247" s="62"/>
      <c r="F247" s="62"/>
      <c r="G247" s="62"/>
      <c r="H247" s="62"/>
      <c r="I247" s="84"/>
      <c r="J247" s="84"/>
      <c r="K247" s="84"/>
      <c r="L247" s="61" t="str">
        <f t="shared" si="3"/>
        <v>NOT CONCLUSIVE</v>
      </c>
    </row>
    <row r="248" spans="2:12" x14ac:dyDescent="0.25">
      <c r="B248" s="59"/>
      <c r="C248" s="60"/>
      <c r="D248" s="62"/>
      <c r="E248" s="62"/>
      <c r="F248" s="62"/>
      <c r="G248" s="62"/>
      <c r="H248" s="62"/>
      <c r="I248" s="84"/>
      <c r="J248" s="84"/>
      <c r="K248" s="84"/>
      <c r="L248" s="61" t="str">
        <f t="shared" si="3"/>
        <v>NOT CONCLUSIVE</v>
      </c>
    </row>
    <row r="249" spans="2:12" x14ac:dyDescent="0.25">
      <c r="B249" s="59"/>
      <c r="C249" s="60"/>
      <c r="D249" s="62"/>
      <c r="E249" s="62"/>
      <c r="F249" s="62"/>
      <c r="G249" s="62"/>
      <c r="H249" s="62"/>
      <c r="I249" s="84"/>
      <c r="J249" s="84"/>
      <c r="K249" s="84"/>
      <c r="L249" s="61" t="str">
        <f t="shared" si="3"/>
        <v>NOT CONCLUSIVE</v>
      </c>
    </row>
    <row r="250" spans="2:12" x14ac:dyDescent="0.25">
      <c r="B250" s="59"/>
      <c r="C250" s="60"/>
      <c r="D250" s="62"/>
      <c r="E250" s="62"/>
      <c r="F250" s="62"/>
      <c r="G250" s="62"/>
      <c r="H250" s="62"/>
      <c r="I250" s="84"/>
      <c r="J250" s="84"/>
      <c r="K250" s="84"/>
      <c r="L250" s="61" t="str">
        <f t="shared" si="3"/>
        <v>NOT CONCLUSIVE</v>
      </c>
    </row>
    <row r="251" spans="2:12" x14ac:dyDescent="0.25">
      <c r="B251" s="59"/>
      <c r="C251" s="60"/>
      <c r="D251" s="62"/>
      <c r="E251" s="62"/>
      <c r="F251" s="62"/>
      <c r="G251" s="62"/>
      <c r="H251" s="62"/>
      <c r="I251" s="84"/>
      <c r="J251" s="84"/>
      <c r="K251" s="84"/>
      <c r="L251" s="61" t="str">
        <f t="shared" si="3"/>
        <v>NOT CONCLUSIVE</v>
      </c>
    </row>
    <row r="252" spans="2:12" x14ac:dyDescent="0.25">
      <c r="B252" s="59"/>
      <c r="C252" s="60"/>
      <c r="D252" s="62"/>
      <c r="E252" s="62"/>
      <c r="F252" s="62"/>
      <c r="G252" s="62"/>
      <c r="H252" s="62"/>
      <c r="I252" s="84"/>
      <c r="J252" s="84"/>
      <c r="K252" s="84"/>
      <c r="L252" s="61" t="str">
        <f t="shared" si="3"/>
        <v>NOT CONCLUSIVE</v>
      </c>
    </row>
    <row r="253" spans="2:12" x14ac:dyDescent="0.25">
      <c r="B253" s="59"/>
      <c r="C253" s="60"/>
      <c r="D253" s="62"/>
      <c r="E253" s="62"/>
      <c r="F253" s="62"/>
      <c r="G253" s="62"/>
      <c r="H253" s="62"/>
      <c r="I253" s="84"/>
      <c r="J253" s="84"/>
      <c r="K253" s="84"/>
      <c r="L253" s="61" t="str">
        <f t="shared" si="3"/>
        <v>NOT CONCLUSIVE</v>
      </c>
    </row>
    <row r="254" spans="2:12" x14ac:dyDescent="0.25">
      <c r="B254" s="59"/>
      <c r="C254" s="60"/>
      <c r="D254" s="62"/>
      <c r="E254" s="62"/>
      <c r="F254" s="62"/>
      <c r="G254" s="62"/>
      <c r="H254" s="62"/>
      <c r="I254" s="84"/>
      <c r="J254" s="84"/>
      <c r="K254" s="84"/>
      <c r="L254" s="61" t="str">
        <f t="shared" si="3"/>
        <v>NOT CONCLUSIVE</v>
      </c>
    </row>
    <row r="255" spans="2:12" x14ac:dyDescent="0.25">
      <c r="B255" s="59"/>
      <c r="C255" s="60"/>
      <c r="D255" s="62"/>
      <c r="E255" s="62"/>
      <c r="F255" s="62"/>
      <c r="G255" s="62"/>
      <c r="H255" s="62"/>
      <c r="I255" s="84"/>
      <c r="J255" s="84"/>
      <c r="K255" s="84"/>
      <c r="L255" s="61" t="str">
        <f t="shared" si="3"/>
        <v>NOT CONCLUSIVE</v>
      </c>
    </row>
    <row r="256" spans="2:12" x14ac:dyDescent="0.25">
      <c r="B256" s="59"/>
      <c r="C256" s="60"/>
      <c r="D256" s="62"/>
      <c r="E256" s="62"/>
      <c r="F256" s="62"/>
      <c r="G256" s="62"/>
      <c r="H256" s="62"/>
      <c r="I256" s="84"/>
      <c r="J256" s="84"/>
      <c r="K256" s="84"/>
      <c r="L256" s="61" t="str">
        <f t="shared" si="3"/>
        <v>NOT CONCLUSIVE</v>
      </c>
    </row>
    <row r="257" spans="2:12" x14ac:dyDescent="0.25">
      <c r="B257" s="59"/>
      <c r="C257" s="60"/>
      <c r="D257" s="62"/>
      <c r="E257" s="62"/>
      <c r="F257" s="62"/>
      <c r="G257" s="62"/>
      <c r="H257" s="62"/>
      <c r="I257" s="84"/>
      <c r="J257" s="84"/>
      <c r="K257" s="84"/>
      <c r="L257" s="61" t="str">
        <f t="shared" si="3"/>
        <v>NOT CONCLUSIVE</v>
      </c>
    </row>
    <row r="258" spans="2:12" x14ac:dyDescent="0.25">
      <c r="B258" s="59"/>
      <c r="C258" s="60"/>
      <c r="D258" s="62"/>
      <c r="E258" s="62"/>
      <c r="F258" s="62"/>
      <c r="G258" s="62"/>
      <c r="H258" s="62"/>
      <c r="I258" s="84"/>
      <c r="J258" s="84"/>
      <c r="K258" s="84"/>
      <c r="L258" s="61" t="str">
        <f t="shared" si="3"/>
        <v>NOT CONCLUSIVE</v>
      </c>
    </row>
    <row r="259" spans="2:12" x14ac:dyDescent="0.25">
      <c r="B259" s="59"/>
      <c r="C259" s="60"/>
      <c r="D259" s="62"/>
      <c r="E259" s="62"/>
      <c r="F259" s="62"/>
      <c r="G259" s="62"/>
      <c r="H259" s="62"/>
      <c r="I259" s="84"/>
      <c r="J259" s="84"/>
      <c r="K259" s="84"/>
      <c r="L259" s="61" t="str">
        <f t="shared" si="3"/>
        <v>NOT CONCLUSIVE</v>
      </c>
    </row>
    <row r="260" spans="2:12" x14ac:dyDescent="0.25">
      <c r="B260" s="59"/>
      <c r="C260" s="60"/>
      <c r="D260" s="62"/>
      <c r="E260" s="62"/>
      <c r="F260" s="62"/>
      <c r="G260" s="62"/>
      <c r="H260" s="62"/>
      <c r="I260" s="84"/>
      <c r="J260" s="84"/>
      <c r="K260" s="84"/>
      <c r="L260" s="61" t="str">
        <f t="shared" si="3"/>
        <v>NOT CONCLUSIVE</v>
      </c>
    </row>
    <row r="261" spans="2:12" x14ac:dyDescent="0.25">
      <c r="B261" s="59"/>
      <c r="C261" s="60"/>
      <c r="D261" s="62"/>
      <c r="E261" s="62"/>
      <c r="F261" s="62"/>
      <c r="G261" s="62"/>
      <c r="H261" s="62"/>
      <c r="I261" s="84"/>
      <c r="J261" s="84"/>
      <c r="K261" s="84"/>
      <c r="L261" s="61" t="str">
        <f t="shared" si="3"/>
        <v>NOT CONCLUSIVE</v>
      </c>
    </row>
    <row r="262" spans="2:12" x14ac:dyDescent="0.25">
      <c r="B262" s="59"/>
      <c r="C262" s="60"/>
      <c r="D262" s="62"/>
      <c r="E262" s="62"/>
      <c r="F262" s="62"/>
      <c r="G262" s="62"/>
      <c r="H262" s="62"/>
      <c r="I262" s="84"/>
      <c r="J262" s="84"/>
      <c r="K262" s="84"/>
      <c r="L262" s="61" t="str">
        <f t="shared" si="3"/>
        <v>NOT CONCLUSIVE</v>
      </c>
    </row>
    <row r="263" spans="2:12" x14ac:dyDescent="0.25">
      <c r="B263" s="59"/>
      <c r="C263" s="60"/>
      <c r="D263" s="62"/>
      <c r="E263" s="62"/>
      <c r="F263" s="62"/>
      <c r="G263" s="62"/>
      <c r="H263" s="62"/>
      <c r="I263" s="84"/>
      <c r="J263" s="84"/>
      <c r="K263" s="84"/>
      <c r="L263" s="61" t="str">
        <f t="shared" si="3"/>
        <v>NOT CONCLUSIVE</v>
      </c>
    </row>
    <row r="264" spans="2:12" x14ac:dyDescent="0.25">
      <c r="B264" s="59"/>
      <c r="C264" s="60"/>
      <c r="D264" s="62"/>
      <c r="E264" s="62"/>
      <c r="F264" s="62"/>
      <c r="G264" s="62"/>
      <c r="H264" s="62"/>
      <c r="I264" s="84"/>
      <c r="J264" s="84"/>
      <c r="K264" s="84"/>
      <c r="L264" s="61" t="str">
        <f t="shared" si="3"/>
        <v>NOT CONCLUSIVE</v>
      </c>
    </row>
    <row r="265" spans="2:12" x14ac:dyDescent="0.25">
      <c r="B265" s="59"/>
      <c r="C265" s="60"/>
      <c r="D265" s="62"/>
      <c r="E265" s="62"/>
      <c r="F265" s="62"/>
      <c r="G265" s="62"/>
      <c r="H265" s="62"/>
      <c r="I265" s="84"/>
      <c r="J265" s="84"/>
      <c r="K265" s="84"/>
      <c r="L265" s="61" t="str">
        <f t="shared" si="3"/>
        <v>NOT CONCLUSIVE</v>
      </c>
    </row>
    <row r="266" spans="2:12" x14ac:dyDescent="0.25">
      <c r="B266" s="59"/>
      <c r="C266" s="60"/>
      <c r="D266" s="62"/>
      <c r="E266" s="62"/>
      <c r="F266" s="62"/>
      <c r="G266" s="62"/>
      <c r="H266" s="62"/>
      <c r="I266" s="84"/>
      <c r="J266" s="84"/>
      <c r="K266" s="84"/>
      <c r="L266" s="61" t="str">
        <f t="shared" si="3"/>
        <v>NOT CONCLUSIVE</v>
      </c>
    </row>
    <row r="267" spans="2:12" x14ac:dyDescent="0.25">
      <c r="B267" s="59"/>
      <c r="C267" s="60"/>
      <c r="D267" s="62"/>
      <c r="E267" s="62"/>
      <c r="F267" s="62"/>
      <c r="G267" s="62"/>
      <c r="H267" s="62"/>
      <c r="I267" s="84"/>
      <c r="J267" s="84"/>
      <c r="K267" s="84"/>
      <c r="L267" s="61" t="str">
        <f t="shared" si="3"/>
        <v>NOT CONCLUSIVE</v>
      </c>
    </row>
    <row r="268" spans="2:12" x14ac:dyDescent="0.25">
      <c r="B268" s="59"/>
      <c r="C268" s="60"/>
      <c r="D268" s="62"/>
      <c r="E268" s="62"/>
      <c r="F268" s="62"/>
      <c r="G268" s="62"/>
      <c r="H268" s="62"/>
      <c r="I268" s="84"/>
      <c r="J268" s="84"/>
      <c r="K268" s="84"/>
      <c r="L268" s="61" t="str">
        <f t="shared" si="3"/>
        <v>NOT CONCLUSIVE</v>
      </c>
    </row>
    <row r="269" spans="2:12" x14ac:dyDescent="0.25">
      <c r="B269" s="59"/>
      <c r="C269" s="60"/>
      <c r="D269" s="62"/>
      <c r="E269" s="62"/>
      <c r="F269" s="62"/>
      <c r="G269" s="62"/>
      <c r="H269" s="62"/>
      <c r="I269" s="84"/>
      <c r="J269" s="84"/>
      <c r="K269" s="84"/>
      <c r="L269" s="61" t="str">
        <f t="shared" si="3"/>
        <v>NOT CONCLUSIVE</v>
      </c>
    </row>
    <row r="270" spans="2:12" x14ac:dyDescent="0.25">
      <c r="B270" s="59"/>
      <c r="C270" s="60"/>
      <c r="D270" s="62"/>
      <c r="E270" s="62"/>
      <c r="F270" s="62"/>
      <c r="G270" s="62"/>
      <c r="H270" s="62"/>
      <c r="I270" s="84"/>
      <c r="J270" s="84"/>
      <c r="K270" s="84"/>
      <c r="L270" s="61" t="str">
        <f t="shared" si="3"/>
        <v>NOT CONCLUSIVE</v>
      </c>
    </row>
    <row r="271" spans="2:12" x14ac:dyDescent="0.25">
      <c r="B271" s="59"/>
      <c r="C271" s="60"/>
      <c r="D271" s="62"/>
      <c r="E271" s="62"/>
      <c r="F271" s="62"/>
      <c r="G271" s="62"/>
      <c r="H271" s="62"/>
      <c r="I271" s="84"/>
      <c r="J271" s="84"/>
      <c r="K271" s="84"/>
      <c r="L271" s="61" t="str">
        <f t="shared" si="3"/>
        <v>NOT CONCLUSIVE</v>
      </c>
    </row>
    <row r="272" spans="2:12" x14ac:dyDescent="0.25">
      <c r="B272" s="59"/>
      <c r="C272" s="60"/>
      <c r="D272" s="62"/>
      <c r="E272" s="62"/>
      <c r="F272" s="62"/>
      <c r="G272" s="62"/>
      <c r="H272" s="62"/>
      <c r="I272" s="84"/>
      <c r="J272" s="84"/>
      <c r="K272" s="84"/>
      <c r="L272" s="61" t="str">
        <f t="shared" si="3"/>
        <v>NOT CONCLUSIVE</v>
      </c>
    </row>
    <row r="273" spans="2:12" x14ac:dyDescent="0.25">
      <c r="B273" s="59"/>
      <c r="C273" s="60"/>
      <c r="D273" s="62"/>
      <c r="E273" s="62"/>
      <c r="F273" s="62"/>
      <c r="G273" s="62"/>
      <c r="H273" s="62"/>
      <c r="I273" s="84"/>
      <c r="J273" s="84"/>
      <c r="K273" s="84"/>
      <c r="L273" s="61" t="str">
        <f t="shared" si="3"/>
        <v>NOT CONCLUSIVE</v>
      </c>
    </row>
    <row r="274" spans="2:12" x14ac:dyDescent="0.25">
      <c r="B274" s="59"/>
      <c r="C274" s="60"/>
      <c r="D274" s="62"/>
      <c r="E274" s="62"/>
      <c r="F274" s="62"/>
      <c r="G274" s="62"/>
      <c r="H274" s="62"/>
      <c r="I274" s="84"/>
      <c r="J274" s="84"/>
      <c r="K274" s="84"/>
      <c r="L274" s="61" t="str">
        <f t="shared" si="3"/>
        <v>NOT CONCLUSIVE</v>
      </c>
    </row>
    <row r="275" spans="2:12" x14ac:dyDescent="0.25">
      <c r="B275" s="59"/>
      <c r="C275" s="60"/>
      <c r="D275" s="62"/>
      <c r="E275" s="62"/>
      <c r="F275" s="62"/>
      <c r="G275" s="62"/>
      <c r="H275" s="62"/>
      <c r="I275" s="84"/>
      <c r="J275" s="84"/>
      <c r="K275" s="84"/>
      <c r="L275" s="61" t="str">
        <f t="shared" si="3"/>
        <v>NOT CONCLUSIVE</v>
      </c>
    </row>
    <row r="276" spans="2:12" x14ac:dyDescent="0.25">
      <c r="B276" s="59"/>
      <c r="C276" s="60"/>
      <c r="D276" s="62"/>
      <c r="E276" s="62"/>
      <c r="F276" s="62"/>
      <c r="G276" s="62"/>
      <c r="H276" s="62"/>
      <c r="I276" s="84"/>
      <c r="J276" s="84"/>
      <c r="K276" s="84"/>
      <c r="L276" s="61" t="str">
        <f t="shared" si="3"/>
        <v>NOT CONCLUSIVE</v>
      </c>
    </row>
    <row r="277" spans="2:12" x14ac:dyDescent="0.25">
      <c r="B277" s="59"/>
      <c r="C277" s="60"/>
      <c r="D277" s="62"/>
      <c r="E277" s="62"/>
      <c r="F277" s="62"/>
      <c r="G277" s="62"/>
      <c r="H277" s="62"/>
      <c r="I277" s="84"/>
      <c r="J277" s="84"/>
      <c r="K277" s="84"/>
      <c r="L277" s="61" t="str">
        <f t="shared" si="3"/>
        <v>NOT CONCLUSIVE</v>
      </c>
    </row>
    <row r="278" spans="2:12" x14ac:dyDescent="0.25">
      <c r="B278" s="59"/>
      <c r="C278" s="60"/>
      <c r="D278" s="62"/>
      <c r="E278" s="62"/>
      <c r="F278" s="62"/>
      <c r="G278" s="62"/>
      <c r="H278" s="62"/>
      <c r="I278" s="84"/>
      <c r="J278" s="84"/>
      <c r="K278" s="84"/>
      <c r="L278" s="61" t="str">
        <f t="shared" ref="L278:L341" si="4">IF(D278&gt;E278,"BEARISH",IF(D278&lt;E278,"BULLISH","NOT CONCLUSIVE"))</f>
        <v>NOT CONCLUSIVE</v>
      </c>
    </row>
    <row r="279" spans="2:12" x14ac:dyDescent="0.25">
      <c r="B279" s="59"/>
      <c r="C279" s="60"/>
      <c r="D279" s="62"/>
      <c r="E279" s="62"/>
      <c r="F279" s="62"/>
      <c r="G279" s="62"/>
      <c r="H279" s="62"/>
      <c r="I279" s="84"/>
      <c r="J279" s="84"/>
      <c r="K279" s="84"/>
      <c r="L279" s="61" t="str">
        <f t="shared" si="4"/>
        <v>NOT CONCLUSIVE</v>
      </c>
    </row>
    <row r="280" spans="2:12" x14ac:dyDescent="0.25">
      <c r="B280" s="59"/>
      <c r="C280" s="60"/>
      <c r="D280" s="62"/>
      <c r="E280" s="62"/>
      <c r="F280" s="62"/>
      <c r="G280" s="62"/>
      <c r="H280" s="62"/>
      <c r="I280" s="84"/>
      <c r="J280" s="84"/>
      <c r="K280" s="84"/>
      <c r="L280" s="61" t="str">
        <f t="shared" si="4"/>
        <v>NOT CONCLUSIVE</v>
      </c>
    </row>
    <row r="281" spans="2:12" x14ac:dyDescent="0.25">
      <c r="B281" s="59"/>
      <c r="C281" s="60"/>
      <c r="D281" s="62"/>
      <c r="E281" s="62"/>
      <c r="F281" s="62"/>
      <c r="G281" s="62"/>
      <c r="H281" s="62"/>
      <c r="I281" s="84"/>
      <c r="J281" s="84"/>
      <c r="K281" s="84"/>
      <c r="L281" s="61" t="str">
        <f t="shared" si="4"/>
        <v>NOT CONCLUSIVE</v>
      </c>
    </row>
    <row r="282" spans="2:12" x14ac:dyDescent="0.25">
      <c r="B282" s="59"/>
      <c r="C282" s="60"/>
      <c r="D282" s="62"/>
      <c r="E282" s="62"/>
      <c r="F282" s="62"/>
      <c r="G282" s="62"/>
      <c r="H282" s="62"/>
      <c r="I282" s="84"/>
      <c r="J282" s="84"/>
      <c r="K282" s="84"/>
      <c r="L282" s="61" t="str">
        <f t="shared" si="4"/>
        <v>NOT CONCLUSIVE</v>
      </c>
    </row>
    <row r="283" spans="2:12" x14ac:dyDescent="0.25">
      <c r="B283" s="59"/>
      <c r="C283" s="60"/>
      <c r="D283" s="62"/>
      <c r="E283" s="62"/>
      <c r="F283" s="62"/>
      <c r="G283" s="62"/>
      <c r="H283" s="62"/>
      <c r="I283" s="84"/>
      <c r="J283" s="84"/>
      <c r="K283" s="84"/>
      <c r="L283" s="61" t="str">
        <f t="shared" si="4"/>
        <v>NOT CONCLUSIVE</v>
      </c>
    </row>
    <row r="284" spans="2:12" x14ac:dyDescent="0.25">
      <c r="B284" s="59"/>
      <c r="C284" s="60"/>
      <c r="D284" s="62"/>
      <c r="E284" s="62"/>
      <c r="F284" s="62"/>
      <c r="G284" s="62"/>
      <c r="H284" s="62"/>
      <c r="I284" s="84"/>
      <c r="J284" s="84"/>
      <c r="K284" s="84"/>
      <c r="L284" s="61" t="str">
        <f t="shared" si="4"/>
        <v>NOT CONCLUSIVE</v>
      </c>
    </row>
    <row r="285" spans="2:12" x14ac:dyDescent="0.25">
      <c r="B285" s="59"/>
      <c r="C285" s="60"/>
      <c r="D285" s="62"/>
      <c r="E285" s="62"/>
      <c r="F285" s="62"/>
      <c r="G285" s="62"/>
      <c r="H285" s="62"/>
      <c r="I285" s="84"/>
      <c r="J285" s="84"/>
      <c r="K285" s="84"/>
      <c r="L285" s="61" t="str">
        <f t="shared" si="4"/>
        <v>NOT CONCLUSIVE</v>
      </c>
    </row>
    <row r="286" spans="2:12" x14ac:dyDescent="0.25">
      <c r="B286" s="59"/>
      <c r="C286" s="60"/>
      <c r="D286" s="62"/>
      <c r="E286" s="62"/>
      <c r="F286" s="62"/>
      <c r="G286" s="62"/>
      <c r="H286" s="62"/>
      <c r="I286" s="84"/>
      <c r="J286" s="84"/>
      <c r="K286" s="84"/>
      <c r="L286" s="61" t="str">
        <f t="shared" si="4"/>
        <v>NOT CONCLUSIVE</v>
      </c>
    </row>
    <row r="287" spans="2:12" x14ac:dyDescent="0.25">
      <c r="B287" s="59"/>
      <c r="C287" s="60"/>
      <c r="D287" s="62"/>
      <c r="E287" s="62"/>
      <c r="F287" s="62"/>
      <c r="G287" s="62"/>
      <c r="H287" s="62"/>
      <c r="I287" s="84"/>
      <c r="J287" s="84"/>
      <c r="K287" s="84"/>
      <c r="L287" s="61" t="str">
        <f t="shared" si="4"/>
        <v>NOT CONCLUSIVE</v>
      </c>
    </row>
    <row r="288" spans="2:12" x14ac:dyDescent="0.25">
      <c r="B288" s="59"/>
      <c r="C288" s="60"/>
      <c r="D288" s="62"/>
      <c r="E288" s="62"/>
      <c r="F288" s="62"/>
      <c r="G288" s="62"/>
      <c r="H288" s="62"/>
      <c r="I288" s="84"/>
      <c r="J288" s="84"/>
      <c r="K288" s="84"/>
      <c r="L288" s="61" t="str">
        <f t="shared" si="4"/>
        <v>NOT CONCLUSIVE</v>
      </c>
    </row>
    <row r="289" spans="2:12" x14ac:dyDescent="0.25">
      <c r="B289" s="59"/>
      <c r="C289" s="60"/>
      <c r="D289" s="62"/>
      <c r="E289" s="62"/>
      <c r="F289" s="62"/>
      <c r="G289" s="62"/>
      <c r="H289" s="62"/>
      <c r="I289" s="84"/>
      <c r="J289" s="84"/>
      <c r="K289" s="84"/>
      <c r="L289" s="61" t="str">
        <f t="shared" si="4"/>
        <v>NOT CONCLUSIVE</v>
      </c>
    </row>
    <row r="290" spans="2:12" x14ac:dyDescent="0.25">
      <c r="B290" s="59"/>
      <c r="C290" s="60"/>
      <c r="D290" s="62"/>
      <c r="E290" s="62"/>
      <c r="F290" s="62"/>
      <c r="G290" s="62"/>
      <c r="H290" s="62"/>
      <c r="I290" s="84"/>
      <c r="J290" s="84"/>
      <c r="K290" s="84"/>
      <c r="L290" s="61" t="str">
        <f t="shared" si="4"/>
        <v>NOT CONCLUSIVE</v>
      </c>
    </row>
    <row r="291" spans="2:12" x14ac:dyDescent="0.25">
      <c r="B291" s="59"/>
      <c r="C291" s="60"/>
      <c r="D291" s="62"/>
      <c r="E291" s="62"/>
      <c r="F291" s="62"/>
      <c r="G291" s="62"/>
      <c r="H291" s="62"/>
      <c r="I291" s="84"/>
      <c r="J291" s="84"/>
      <c r="K291" s="84"/>
      <c r="L291" s="61" t="str">
        <f t="shared" si="4"/>
        <v>NOT CONCLUSIVE</v>
      </c>
    </row>
    <row r="292" spans="2:12" x14ac:dyDescent="0.25">
      <c r="B292" s="59"/>
      <c r="C292" s="60"/>
      <c r="D292" s="62"/>
      <c r="E292" s="62"/>
      <c r="F292" s="62"/>
      <c r="G292" s="62"/>
      <c r="H292" s="62"/>
      <c r="I292" s="84"/>
      <c r="J292" s="84"/>
      <c r="K292" s="84"/>
      <c r="L292" s="61" t="str">
        <f t="shared" si="4"/>
        <v>NOT CONCLUSIVE</v>
      </c>
    </row>
    <row r="293" spans="2:12" x14ac:dyDescent="0.25">
      <c r="B293" s="59"/>
      <c r="C293" s="60"/>
      <c r="D293" s="62"/>
      <c r="E293" s="62"/>
      <c r="F293" s="62"/>
      <c r="G293" s="62"/>
      <c r="H293" s="62"/>
      <c r="I293" s="84"/>
      <c r="J293" s="84"/>
      <c r="K293" s="84"/>
      <c r="L293" s="61" t="str">
        <f t="shared" si="4"/>
        <v>NOT CONCLUSIVE</v>
      </c>
    </row>
    <row r="294" spans="2:12" x14ac:dyDescent="0.25">
      <c r="B294" s="59"/>
      <c r="C294" s="60"/>
      <c r="D294" s="62"/>
      <c r="E294" s="62"/>
      <c r="F294" s="62"/>
      <c r="G294" s="62"/>
      <c r="H294" s="62"/>
      <c r="I294" s="84"/>
      <c r="J294" s="84"/>
      <c r="K294" s="84"/>
      <c r="L294" s="61" t="str">
        <f t="shared" si="4"/>
        <v>NOT CONCLUSIVE</v>
      </c>
    </row>
    <row r="295" spans="2:12" x14ac:dyDescent="0.25">
      <c r="B295" s="59"/>
      <c r="C295" s="60"/>
      <c r="D295" s="62"/>
      <c r="E295" s="62"/>
      <c r="F295" s="62"/>
      <c r="G295" s="62"/>
      <c r="H295" s="62"/>
      <c r="I295" s="84"/>
      <c r="J295" s="84"/>
      <c r="K295" s="84"/>
      <c r="L295" s="61" t="str">
        <f t="shared" si="4"/>
        <v>NOT CONCLUSIVE</v>
      </c>
    </row>
    <row r="296" spans="2:12" x14ac:dyDescent="0.25">
      <c r="B296" s="59"/>
      <c r="C296" s="60"/>
      <c r="D296" s="62"/>
      <c r="E296" s="62"/>
      <c r="F296" s="62"/>
      <c r="G296" s="62"/>
      <c r="H296" s="62"/>
      <c r="I296" s="84"/>
      <c r="J296" s="84"/>
      <c r="K296" s="84"/>
      <c r="L296" s="61" t="str">
        <f t="shared" si="4"/>
        <v>NOT CONCLUSIVE</v>
      </c>
    </row>
    <row r="297" spans="2:12" x14ac:dyDescent="0.25">
      <c r="B297" s="59"/>
      <c r="C297" s="60"/>
      <c r="D297" s="62"/>
      <c r="E297" s="62"/>
      <c r="F297" s="62"/>
      <c r="G297" s="62"/>
      <c r="H297" s="62"/>
      <c r="I297" s="84"/>
      <c r="J297" s="84"/>
      <c r="K297" s="84"/>
      <c r="L297" s="61" t="str">
        <f t="shared" si="4"/>
        <v>NOT CONCLUSIVE</v>
      </c>
    </row>
    <row r="298" spans="2:12" x14ac:dyDescent="0.25">
      <c r="B298" s="59"/>
      <c r="C298" s="60"/>
      <c r="D298" s="62"/>
      <c r="E298" s="62"/>
      <c r="F298" s="62"/>
      <c r="G298" s="62"/>
      <c r="H298" s="62"/>
      <c r="I298" s="84"/>
      <c r="J298" s="84"/>
      <c r="K298" s="84"/>
      <c r="L298" s="61" t="str">
        <f t="shared" si="4"/>
        <v>NOT CONCLUSIVE</v>
      </c>
    </row>
    <row r="299" spans="2:12" x14ac:dyDescent="0.25">
      <c r="B299" s="59"/>
      <c r="C299" s="60"/>
      <c r="D299" s="62"/>
      <c r="E299" s="62"/>
      <c r="F299" s="62"/>
      <c r="G299" s="62"/>
      <c r="H299" s="62"/>
      <c r="I299" s="84"/>
      <c r="J299" s="84"/>
      <c r="K299" s="84"/>
      <c r="L299" s="61" t="str">
        <f t="shared" si="4"/>
        <v>NOT CONCLUSIVE</v>
      </c>
    </row>
    <row r="300" spans="2:12" x14ac:dyDescent="0.25">
      <c r="B300" s="59"/>
      <c r="C300" s="60"/>
      <c r="D300" s="62"/>
      <c r="E300" s="62"/>
      <c r="F300" s="62"/>
      <c r="G300" s="62"/>
      <c r="H300" s="62"/>
      <c r="I300" s="84"/>
      <c r="J300" s="84"/>
      <c r="K300" s="84"/>
      <c r="L300" s="61" t="str">
        <f t="shared" si="4"/>
        <v>NOT CONCLUSIVE</v>
      </c>
    </row>
    <row r="301" spans="2:12" x14ac:dyDescent="0.25">
      <c r="B301" s="59"/>
      <c r="C301" s="60"/>
      <c r="D301" s="62"/>
      <c r="E301" s="62"/>
      <c r="F301" s="62"/>
      <c r="G301" s="62"/>
      <c r="H301" s="62"/>
      <c r="I301" s="84"/>
      <c r="J301" s="84"/>
      <c r="K301" s="84"/>
      <c r="L301" s="61" t="str">
        <f t="shared" si="4"/>
        <v>NOT CONCLUSIVE</v>
      </c>
    </row>
    <row r="302" spans="2:12" x14ac:dyDescent="0.25">
      <c r="B302" s="59"/>
      <c r="C302" s="60"/>
      <c r="D302" s="62"/>
      <c r="E302" s="62"/>
      <c r="F302" s="62"/>
      <c r="G302" s="62"/>
      <c r="H302" s="62"/>
      <c r="I302" s="84"/>
      <c r="J302" s="84"/>
      <c r="K302" s="84"/>
      <c r="L302" s="61" t="str">
        <f t="shared" si="4"/>
        <v>NOT CONCLUSIVE</v>
      </c>
    </row>
    <row r="303" spans="2:12" x14ac:dyDescent="0.25">
      <c r="B303" s="59"/>
      <c r="C303" s="60"/>
      <c r="D303" s="62"/>
      <c r="E303" s="62"/>
      <c r="F303" s="62"/>
      <c r="G303" s="62"/>
      <c r="H303" s="62"/>
      <c r="I303" s="84"/>
      <c r="J303" s="84"/>
      <c r="K303" s="84"/>
      <c r="L303" s="61" t="str">
        <f t="shared" si="4"/>
        <v>NOT CONCLUSIVE</v>
      </c>
    </row>
    <row r="304" spans="2:12" x14ac:dyDescent="0.25">
      <c r="B304" s="59"/>
      <c r="C304" s="60"/>
      <c r="D304" s="62"/>
      <c r="E304" s="62"/>
      <c r="F304" s="62"/>
      <c r="G304" s="62"/>
      <c r="H304" s="62"/>
      <c r="I304" s="84"/>
      <c r="J304" s="84"/>
      <c r="K304" s="84"/>
      <c r="L304" s="61" t="str">
        <f t="shared" si="4"/>
        <v>NOT CONCLUSIVE</v>
      </c>
    </row>
    <row r="305" spans="2:12" x14ac:dyDescent="0.25">
      <c r="B305" s="59"/>
      <c r="C305" s="60"/>
      <c r="D305" s="62"/>
      <c r="E305" s="62"/>
      <c r="F305" s="62"/>
      <c r="G305" s="62"/>
      <c r="H305" s="62"/>
      <c r="I305" s="84"/>
      <c r="J305" s="84"/>
      <c r="K305" s="84"/>
      <c r="L305" s="61" t="str">
        <f t="shared" si="4"/>
        <v>NOT CONCLUSIVE</v>
      </c>
    </row>
    <row r="306" spans="2:12" x14ac:dyDescent="0.25">
      <c r="B306" s="59"/>
      <c r="C306" s="60"/>
      <c r="D306" s="62"/>
      <c r="E306" s="62"/>
      <c r="F306" s="62"/>
      <c r="G306" s="62"/>
      <c r="H306" s="62"/>
      <c r="I306" s="84"/>
      <c r="J306" s="84"/>
      <c r="K306" s="84"/>
      <c r="L306" s="61" t="str">
        <f t="shared" si="4"/>
        <v>NOT CONCLUSIVE</v>
      </c>
    </row>
    <row r="307" spans="2:12" x14ac:dyDescent="0.25">
      <c r="B307" s="59"/>
      <c r="C307" s="60"/>
      <c r="D307" s="62"/>
      <c r="E307" s="62"/>
      <c r="F307" s="62"/>
      <c r="G307" s="62"/>
      <c r="H307" s="62"/>
      <c r="I307" s="84"/>
      <c r="J307" s="84"/>
      <c r="K307" s="84"/>
      <c r="L307" s="61" t="str">
        <f t="shared" si="4"/>
        <v>NOT CONCLUSIVE</v>
      </c>
    </row>
    <row r="308" spans="2:12" x14ac:dyDescent="0.25">
      <c r="B308" s="59"/>
      <c r="C308" s="60"/>
      <c r="D308" s="62"/>
      <c r="E308" s="62"/>
      <c r="F308" s="62"/>
      <c r="G308" s="62"/>
      <c r="H308" s="62"/>
      <c r="I308" s="84"/>
      <c r="J308" s="84"/>
      <c r="K308" s="84"/>
      <c r="L308" s="61" t="str">
        <f t="shared" si="4"/>
        <v>NOT CONCLUSIVE</v>
      </c>
    </row>
    <row r="309" spans="2:12" x14ac:dyDescent="0.25">
      <c r="B309" s="59"/>
      <c r="C309" s="60"/>
      <c r="D309" s="62"/>
      <c r="E309" s="62"/>
      <c r="F309" s="62"/>
      <c r="G309" s="62"/>
      <c r="H309" s="62"/>
      <c r="I309" s="84"/>
      <c r="J309" s="84"/>
      <c r="K309" s="84"/>
      <c r="L309" s="61" t="str">
        <f t="shared" si="4"/>
        <v>NOT CONCLUSIVE</v>
      </c>
    </row>
    <row r="310" spans="2:12" x14ac:dyDescent="0.25">
      <c r="B310" s="59"/>
      <c r="C310" s="60"/>
      <c r="D310" s="62"/>
      <c r="E310" s="62"/>
      <c r="F310" s="62"/>
      <c r="G310" s="62"/>
      <c r="H310" s="62"/>
      <c r="I310" s="84"/>
      <c r="J310" s="84"/>
      <c r="K310" s="84"/>
      <c r="L310" s="61" t="str">
        <f t="shared" si="4"/>
        <v>NOT CONCLUSIVE</v>
      </c>
    </row>
    <row r="311" spans="2:12" x14ac:dyDescent="0.25">
      <c r="B311" s="59"/>
      <c r="C311" s="60"/>
      <c r="D311" s="62"/>
      <c r="E311" s="62"/>
      <c r="F311" s="62"/>
      <c r="G311" s="62"/>
      <c r="H311" s="62"/>
      <c r="I311" s="84"/>
      <c r="J311" s="84"/>
      <c r="K311" s="84"/>
      <c r="L311" s="61" t="str">
        <f t="shared" si="4"/>
        <v>NOT CONCLUSIVE</v>
      </c>
    </row>
    <row r="312" spans="2:12" x14ac:dyDescent="0.25">
      <c r="B312" s="59"/>
      <c r="C312" s="60"/>
      <c r="D312" s="62"/>
      <c r="E312" s="62"/>
      <c r="F312" s="62"/>
      <c r="G312" s="62"/>
      <c r="H312" s="62"/>
      <c r="I312" s="84"/>
      <c r="J312" s="84"/>
      <c r="K312" s="84"/>
      <c r="L312" s="61" t="str">
        <f t="shared" si="4"/>
        <v>NOT CONCLUSIVE</v>
      </c>
    </row>
    <row r="313" spans="2:12" x14ac:dyDescent="0.25">
      <c r="B313" s="59"/>
      <c r="C313" s="60"/>
      <c r="D313" s="62"/>
      <c r="E313" s="62"/>
      <c r="F313" s="62"/>
      <c r="G313" s="62"/>
      <c r="H313" s="62"/>
      <c r="I313" s="84"/>
      <c r="J313" s="84"/>
      <c r="K313" s="84"/>
      <c r="L313" s="61" t="str">
        <f t="shared" si="4"/>
        <v>NOT CONCLUSIVE</v>
      </c>
    </row>
    <row r="314" spans="2:12" x14ac:dyDescent="0.25">
      <c r="B314" s="59"/>
      <c r="C314" s="60"/>
      <c r="D314" s="62"/>
      <c r="E314" s="62"/>
      <c r="F314" s="62"/>
      <c r="G314" s="62"/>
      <c r="H314" s="62"/>
      <c r="I314" s="84"/>
      <c r="J314" s="84"/>
      <c r="K314" s="84"/>
      <c r="L314" s="61" t="str">
        <f t="shared" si="4"/>
        <v>NOT CONCLUSIVE</v>
      </c>
    </row>
    <row r="315" spans="2:12" x14ac:dyDescent="0.25">
      <c r="B315" s="59"/>
      <c r="C315" s="60"/>
      <c r="D315" s="62"/>
      <c r="E315" s="62"/>
      <c r="F315" s="62"/>
      <c r="G315" s="62"/>
      <c r="H315" s="62"/>
      <c r="I315" s="84"/>
      <c r="J315" s="84"/>
      <c r="K315" s="84"/>
      <c r="L315" s="61" t="str">
        <f t="shared" si="4"/>
        <v>NOT CONCLUSIVE</v>
      </c>
    </row>
    <row r="316" spans="2:12" x14ac:dyDescent="0.25">
      <c r="B316" s="59"/>
      <c r="C316" s="60"/>
      <c r="D316" s="62"/>
      <c r="E316" s="62"/>
      <c r="F316" s="62"/>
      <c r="G316" s="62"/>
      <c r="H316" s="62"/>
      <c r="I316" s="84"/>
      <c r="J316" s="84"/>
      <c r="K316" s="84"/>
      <c r="L316" s="61" t="str">
        <f t="shared" si="4"/>
        <v>NOT CONCLUSIVE</v>
      </c>
    </row>
    <row r="317" spans="2:12" x14ac:dyDescent="0.25">
      <c r="B317" s="59"/>
      <c r="C317" s="60"/>
      <c r="D317" s="62"/>
      <c r="E317" s="62"/>
      <c r="F317" s="62"/>
      <c r="G317" s="62"/>
      <c r="H317" s="62"/>
      <c r="I317" s="84"/>
      <c r="J317" s="84"/>
      <c r="K317" s="84"/>
      <c r="L317" s="61" t="str">
        <f t="shared" si="4"/>
        <v>NOT CONCLUSIVE</v>
      </c>
    </row>
    <row r="318" spans="2:12" x14ac:dyDescent="0.25">
      <c r="B318" s="59"/>
      <c r="C318" s="60"/>
      <c r="D318" s="62"/>
      <c r="E318" s="62"/>
      <c r="F318" s="62"/>
      <c r="G318" s="62"/>
      <c r="H318" s="62"/>
      <c r="I318" s="84"/>
      <c r="J318" s="84"/>
      <c r="K318" s="84"/>
      <c r="L318" s="61" t="str">
        <f t="shared" si="4"/>
        <v>NOT CONCLUSIVE</v>
      </c>
    </row>
    <row r="319" spans="2:12" x14ac:dyDescent="0.25">
      <c r="B319" s="59"/>
      <c r="C319" s="60"/>
      <c r="D319" s="62"/>
      <c r="E319" s="62"/>
      <c r="F319" s="62"/>
      <c r="G319" s="62"/>
      <c r="H319" s="62"/>
      <c r="I319" s="84"/>
      <c r="J319" s="84"/>
      <c r="K319" s="84"/>
      <c r="L319" s="61" t="str">
        <f t="shared" si="4"/>
        <v>NOT CONCLUSIVE</v>
      </c>
    </row>
    <row r="320" spans="2:12" x14ac:dyDescent="0.25">
      <c r="B320" s="59"/>
      <c r="C320" s="60"/>
      <c r="D320" s="62"/>
      <c r="E320" s="62"/>
      <c r="F320" s="62"/>
      <c r="G320" s="62"/>
      <c r="H320" s="62"/>
      <c r="I320" s="84"/>
      <c r="J320" s="84"/>
      <c r="K320" s="84"/>
      <c r="L320" s="61" t="str">
        <f t="shared" si="4"/>
        <v>NOT CONCLUSIVE</v>
      </c>
    </row>
    <row r="321" spans="2:12" x14ac:dyDescent="0.25">
      <c r="B321" s="59"/>
      <c r="C321" s="60"/>
      <c r="D321" s="62"/>
      <c r="E321" s="62"/>
      <c r="F321" s="62"/>
      <c r="G321" s="62"/>
      <c r="H321" s="62"/>
      <c r="I321" s="84"/>
      <c r="J321" s="84"/>
      <c r="K321" s="84"/>
      <c r="L321" s="61" t="str">
        <f t="shared" si="4"/>
        <v>NOT CONCLUSIVE</v>
      </c>
    </row>
    <row r="322" spans="2:12" x14ac:dyDescent="0.25">
      <c r="B322" s="59"/>
      <c r="C322" s="60"/>
      <c r="D322" s="62"/>
      <c r="E322" s="62"/>
      <c r="F322" s="62"/>
      <c r="G322" s="62"/>
      <c r="H322" s="62"/>
      <c r="I322" s="84"/>
      <c r="J322" s="84"/>
      <c r="K322" s="84"/>
      <c r="L322" s="61" t="str">
        <f t="shared" si="4"/>
        <v>NOT CONCLUSIVE</v>
      </c>
    </row>
    <row r="323" spans="2:12" x14ac:dyDescent="0.25">
      <c r="B323" s="59"/>
      <c r="C323" s="60"/>
      <c r="D323" s="62"/>
      <c r="E323" s="62"/>
      <c r="F323" s="62"/>
      <c r="G323" s="62"/>
      <c r="H323" s="62"/>
      <c r="I323" s="84"/>
      <c r="J323" s="84"/>
      <c r="K323" s="84"/>
      <c r="L323" s="61" t="str">
        <f t="shared" si="4"/>
        <v>NOT CONCLUSIVE</v>
      </c>
    </row>
    <row r="324" spans="2:12" x14ac:dyDescent="0.25">
      <c r="B324" s="59"/>
      <c r="C324" s="60"/>
      <c r="D324" s="62"/>
      <c r="E324" s="62"/>
      <c r="F324" s="62"/>
      <c r="G324" s="62"/>
      <c r="H324" s="62"/>
      <c r="I324" s="84"/>
      <c r="J324" s="84"/>
      <c r="K324" s="84"/>
      <c r="L324" s="61" t="str">
        <f t="shared" si="4"/>
        <v>NOT CONCLUSIVE</v>
      </c>
    </row>
    <row r="325" spans="2:12" x14ac:dyDescent="0.25">
      <c r="B325" s="59"/>
      <c r="C325" s="60"/>
      <c r="D325" s="62"/>
      <c r="E325" s="62"/>
      <c r="F325" s="62"/>
      <c r="G325" s="62"/>
      <c r="H325" s="62"/>
      <c r="I325" s="84"/>
      <c r="J325" s="84"/>
      <c r="K325" s="84"/>
      <c r="L325" s="61" t="str">
        <f t="shared" si="4"/>
        <v>NOT CONCLUSIVE</v>
      </c>
    </row>
    <row r="326" spans="2:12" x14ac:dyDescent="0.25">
      <c r="B326" s="59"/>
      <c r="C326" s="60"/>
      <c r="D326" s="62"/>
      <c r="E326" s="62"/>
      <c r="F326" s="62"/>
      <c r="G326" s="62"/>
      <c r="H326" s="62"/>
      <c r="I326" s="84"/>
      <c r="J326" s="84"/>
      <c r="K326" s="84"/>
      <c r="L326" s="61" t="str">
        <f t="shared" si="4"/>
        <v>NOT CONCLUSIVE</v>
      </c>
    </row>
    <row r="327" spans="2:12" x14ac:dyDescent="0.25">
      <c r="B327" s="59"/>
      <c r="C327" s="60"/>
      <c r="D327" s="62"/>
      <c r="E327" s="62"/>
      <c r="F327" s="62"/>
      <c r="G327" s="62"/>
      <c r="H327" s="62"/>
      <c r="I327" s="84"/>
      <c r="J327" s="84"/>
      <c r="K327" s="84"/>
      <c r="L327" s="61" t="str">
        <f t="shared" si="4"/>
        <v>NOT CONCLUSIVE</v>
      </c>
    </row>
    <row r="328" spans="2:12" x14ac:dyDescent="0.25">
      <c r="B328" s="59"/>
      <c r="C328" s="60"/>
      <c r="D328" s="62"/>
      <c r="E328" s="62"/>
      <c r="F328" s="62"/>
      <c r="G328" s="62"/>
      <c r="H328" s="62"/>
      <c r="I328" s="84"/>
      <c r="J328" s="84"/>
      <c r="K328" s="84"/>
      <c r="L328" s="61" t="str">
        <f t="shared" si="4"/>
        <v>NOT CONCLUSIVE</v>
      </c>
    </row>
    <row r="329" spans="2:12" x14ac:dyDescent="0.25">
      <c r="B329" s="59"/>
      <c r="C329" s="60"/>
      <c r="D329" s="62"/>
      <c r="E329" s="62"/>
      <c r="F329" s="62"/>
      <c r="G329" s="62"/>
      <c r="H329" s="62"/>
      <c r="I329" s="84"/>
      <c r="J329" s="84"/>
      <c r="K329" s="84"/>
      <c r="L329" s="61" t="str">
        <f t="shared" si="4"/>
        <v>NOT CONCLUSIVE</v>
      </c>
    </row>
    <row r="330" spans="2:12" x14ac:dyDescent="0.25">
      <c r="B330" s="59"/>
      <c r="C330" s="60"/>
      <c r="D330" s="62"/>
      <c r="E330" s="62"/>
      <c r="F330" s="62"/>
      <c r="G330" s="62"/>
      <c r="H330" s="62"/>
      <c r="I330" s="84"/>
      <c r="J330" s="84"/>
      <c r="K330" s="84"/>
      <c r="L330" s="61" t="str">
        <f t="shared" si="4"/>
        <v>NOT CONCLUSIVE</v>
      </c>
    </row>
    <row r="331" spans="2:12" x14ac:dyDescent="0.25">
      <c r="B331" s="59"/>
      <c r="C331" s="60"/>
      <c r="D331" s="62"/>
      <c r="E331" s="62"/>
      <c r="F331" s="62"/>
      <c r="G331" s="62"/>
      <c r="H331" s="62"/>
      <c r="I331" s="84"/>
      <c r="J331" s="84"/>
      <c r="K331" s="84"/>
      <c r="L331" s="61" t="str">
        <f t="shared" si="4"/>
        <v>NOT CONCLUSIVE</v>
      </c>
    </row>
    <row r="332" spans="2:12" x14ac:dyDescent="0.25">
      <c r="B332" s="59"/>
      <c r="C332" s="60"/>
      <c r="D332" s="62"/>
      <c r="E332" s="62"/>
      <c r="F332" s="62"/>
      <c r="G332" s="62"/>
      <c r="H332" s="62"/>
      <c r="I332" s="84"/>
      <c r="J332" s="84"/>
      <c r="K332" s="84"/>
      <c r="L332" s="61" t="str">
        <f t="shared" si="4"/>
        <v>NOT CONCLUSIVE</v>
      </c>
    </row>
    <row r="333" spans="2:12" x14ac:dyDescent="0.25">
      <c r="B333" s="59"/>
      <c r="C333" s="60"/>
      <c r="D333" s="62"/>
      <c r="E333" s="62"/>
      <c r="F333" s="62"/>
      <c r="G333" s="62"/>
      <c r="H333" s="62"/>
      <c r="I333" s="84"/>
      <c r="J333" s="84"/>
      <c r="K333" s="84"/>
      <c r="L333" s="61" t="str">
        <f t="shared" si="4"/>
        <v>NOT CONCLUSIVE</v>
      </c>
    </row>
    <row r="334" spans="2:12" x14ac:dyDescent="0.25">
      <c r="B334" s="59"/>
      <c r="C334" s="60"/>
      <c r="D334" s="62"/>
      <c r="E334" s="62"/>
      <c r="F334" s="62"/>
      <c r="G334" s="62"/>
      <c r="H334" s="62"/>
      <c r="I334" s="84"/>
      <c r="J334" s="84"/>
      <c r="K334" s="84"/>
      <c r="L334" s="61" t="str">
        <f t="shared" si="4"/>
        <v>NOT CONCLUSIVE</v>
      </c>
    </row>
    <row r="335" spans="2:12" x14ac:dyDescent="0.25">
      <c r="B335" s="59"/>
      <c r="C335" s="60"/>
      <c r="D335" s="62"/>
      <c r="E335" s="62"/>
      <c r="F335" s="62"/>
      <c r="G335" s="62"/>
      <c r="H335" s="62"/>
      <c r="I335" s="84"/>
      <c r="J335" s="84"/>
      <c r="K335" s="84"/>
      <c r="L335" s="61" t="str">
        <f t="shared" si="4"/>
        <v>NOT CONCLUSIVE</v>
      </c>
    </row>
    <row r="336" spans="2:12" x14ac:dyDescent="0.25">
      <c r="B336" s="59"/>
      <c r="C336" s="60"/>
      <c r="D336" s="62"/>
      <c r="E336" s="62"/>
      <c r="F336" s="62"/>
      <c r="G336" s="62"/>
      <c r="H336" s="62"/>
      <c r="I336" s="84"/>
      <c r="J336" s="84"/>
      <c r="K336" s="84"/>
      <c r="L336" s="61" t="str">
        <f t="shared" si="4"/>
        <v>NOT CONCLUSIVE</v>
      </c>
    </row>
    <row r="337" spans="2:12" x14ac:dyDescent="0.25">
      <c r="B337" s="59"/>
      <c r="C337" s="60"/>
      <c r="D337" s="62"/>
      <c r="E337" s="62"/>
      <c r="F337" s="62"/>
      <c r="G337" s="62"/>
      <c r="H337" s="62"/>
      <c r="I337" s="84"/>
      <c r="J337" s="84"/>
      <c r="K337" s="84"/>
      <c r="L337" s="61" t="str">
        <f t="shared" si="4"/>
        <v>NOT CONCLUSIVE</v>
      </c>
    </row>
    <row r="338" spans="2:12" x14ac:dyDescent="0.25">
      <c r="B338" s="59"/>
      <c r="C338" s="60"/>
      <c r="D338" s="62"/>
      <c r="E338" s="62"/>
      <c r="F338" s="62"/>
      <c r="G338" s="62"/>
      <c r="H338" s="62"/>
      <c r="I338" s="84"/>
      <c r="J338" s="84"/>
      <c r="K338" s="84"/>
      <c r="L338" s="61" t="str">
        <f t="shared" si="4"/>
        <v>NOT CONCLUSIVE</v>
      </c>
    </row>
    <row r="339" spans="2:12" x14ac:dyDescent="0.25">
      <c r="B339" s="59"/>
      <c r="C339" s="60"/>
      <c r="D339" s="62"/>
      <c r="E339" s="62"/>
      <c r="F339" s="62"/>
      <c r="G339" s="62"/>
      <c r="H339" s="62"/>
      <c r="I339" s="84"/>
      <c r="J339" s="84"/>
      <c r="K339" s="84"/>
      <c r="L339" s="61" t="str">
        <f t="shared" si="4"/>
        <v>NOT CONCLUSIVE</v>
      </c>
    </row>
    <row r="340" spans="2:12" x14ac:dyDescent="0.25">
      <c r="B340" s="59"/>
      <c r="C340" s="60"/>
      <c r="D340" s="62"/>
      <c r="E340" s="62"/>
      <c r="F340" s="62"/>
      <c r="G340" s="62"/>
      <c r="H340" s="62"/>
      <c r="I340" s="84"/>
      <c r="J340" s="84"/>
      <c r="K340" s="84"/>
      <c r="L340" s="61" t="str">
        <f t="shared" si="4"/>
        <v>NOT CONCLUSIVE</v>
      </c>
    </row>
    <row r="341" spans="2:12" x14ac:dyDescent="0.25">
      <c r="B341" s="59"/>
      <c r="C341" s="60"/>
      <c r="D341" s="62"/>
      <c r="E341" s="62"/>
      <c r="F341" s="62"/>
      <c r="G341" s="62"/>
      <c r="H341" s="62"/>
      <c r="I341" s="84"/>
      <c r="J341" s="84"/>
      <c r="K341" s="84"/>
      <c r="L341" s="61" t="str">
        <f t="shared" si="4"/>
        <v>NOT CONCLUSIVE</v>
      </c>
    </row>
    <row r="342" spans="2:12" x14ac:dyDescent="0.25">
      <c r="B342" s="59"/>
      <c r="C342" s="60"/>
      <c r="D342" s="62"/>
      <c r="E342" s="62"/>
      <c r="F342" s="62"/>
      <c r="G342" s="62"/>
      <c r="H342" s="62"/>
      <c r="I342" s="84"/>
      <c r="J342" s="84"/>
      <c r="K342" s="84"/>
      <c r="L342" s="61" t="str">
        <f t="shared" ref="L342:L355" si="5">IF(D342&gt;E342,"BEARISH",IF(D342&lt;E342,"BULLISH","NOT CONCLUSIVE"))</f>
        <v>NOT CONCLUSIVE</v>
      </c>
    </row>
    <row r="343" spans="2:12" x14ac:dyDescent="0.25">
      <c r="B343" s="59"/>
      <c r="C343" s="60"/>
      <c r="D343" s="62"/>
      <c r="E343" s="62"/>
      <c r="F343" s="62"/>
      <c r="G343" s="62"/>
      <c r="H343" s="62"/>
      <c r="I343" s="84"/>
      <c r="J343" s="84"/>
      <c r="K343" s="84"/>
      <c r="L343" s="61" t="str">
        <f t="shared" si="5"/>
        <v>NOT CONCLUSIVE</v>
      </c>
    </row>
    <row r="344" spans="2:12" x14ac:dyDescent="0.25">
      <c r="B344" s="59"/>
      <c r="C344" s="60"/>
      <c r="D344" s="62"/>
      <c r="E344" s="62"/>
      <c r="F344" s="62"/>
      <c r="G344" s="62"/>
      <c r="H344" s="62"/>
      <c r="I344" s="84"/>
      <c r="J344" s="84"/>
      <c r="K344" s="84"/>
      <c r="L344" s="61" t="str">
        <f t="shared" si="5"/>
        <v>NOT CONCLUSIVE</v>
      </c>
    </row>
    <row r="345" spans="2:12" x14ac:dyDescent="0.25">
      <c r="B345" s="59"/>
      <c r="C345" s="60"/>
      <c r="D345" s="62"/>
      <c r="E345" s="62"/>
      <c r="F345" s="62"/>
      <c r="G345" s="62"/>
      <c r="H345" s="62"/>
      <c r="I345" s="84"/>
      <c r="J345" s="84"/>
      <c r="K345" s="84"/>
      <c r="L345" s="61" t="str">
        <f t="shared" si="5"/>
        <v>NOT CONCLUSIVE</v>
      </c>
    </row>
    <row r="346" spans="2:12" x14ac:dyDescent="0.25">
      <c r="B346" s="59"/>
      <c r="C346" s="60"/>
      <c r="D346" s="62"/>
      <c r="E346" s="62"/>
      <c r="F346" s="62"/>
      <c r="G346" s="62"/>
      <c r="H346" s="62"/>
      <c r="I346" s="84"/>
      <c r="J346" s="84"/>
      <c r="K346" s="84"/>
      <c r="L346" s="61" t="str">
        <f t="shared" si="5"/>
        <v>NOT CONCLUSIVE</v>
      </c>
    </row>
    <row r="347" spans="2:12" x14ac:dyDescent="0.25">
      <c r="B347" s="59"/>
      <c r="C347" s="60"/>
      <c r="D347" s="62"/>
      <c r="E347" s="62"/>
      <c r="F347" s="62"/>
      <c r="G347" s="62"/>
      <c r="H347" s="62"/>
      <c r="I347" s="84"/>
      <c r="J347" s="84"/>
      <c r="K347" s="84"/>
      <c r="L347" s="61" t="str">
        <f t="shared" si="5"/>
        <v>NOT CONCLUSIVE</v>
      </c>
    </row>
    <row r="348" spans="2:12" x14ac:dyDescent="0.25">
      <c r="B348" s="59"/>
      <c r="C348" s="60"/>
      <c r="D348" s="62"/>
      <c r="E348" s="62"/>
      <c r="F348" s="62"/>
      <c r="G348" s="62"/>
      <c r="H348" s="62"/>
      <c r="I348" s="84"/>
      <c r="J348" s="84"/>
      <c r="K348" s="84"/>
      <c r="L348" s="61" t="str">
        <f t="shared" si="5"/>
        <v>NOT CONCLUSIVE</v>
      </c>
    </row>
    <row r="349" spans="2:12" x14ac:dyDescent="0.25">
      <c r="B349" s="59"/>
      <c r="C349" s="60"/>
      <c r="D349" s="62"/>
      <c r="E349" s="62"/>
      <c r="F349" s="62"/>
      <c r="G349" s="62"/>
      <c r="H349" s="62"/>
      <c r="I349" s="84"/>
      <c r="J349" s="84"/>
      <c r="K349" s="84"/>
      <c r="L349" s="61" t="str">
        <f t="shared" si="5"/>
        <v>NOT CONCLUSIVE</v>
      </c>
    </row>
    <row r="350" spans="2:12" x14ac:dyDescent="0.25">
      <c r="B350" s="59"/>
      <c r="C350" s="60"/>
      <c r="D350" s="62"/>
      <c r="E350" s="62"/>
      <c r="F350" s="62"/>
      <c r="G350" s="62"/>
      <c r="H350" s="62"/>
      <c r="I350" s="84"/>
      <c r="J350" s="84"/>
      <c r="K350" s="84"/>
      <c r="L350" s="61" t="str">
        <f t="shared" si="5"/>
        <v>NOT CONCLUSIVE</v>
      </c>
    </row>
    <row r="351" spans="2:12" x14ac:dyDescent="0.25">
      <c r="B351" s="59"/>
      <c r="C351" s="60"/>
      <c r="D351" s="62"/>
      <c r="E351" s="62"/>
      <c r="F351" s="62"/>
      <c r="G351" s="62"/>
      <c r="H351" s="62"/>
      <c r="I351" s="84"/>
      <c r="J351" s="84"/>
      <c r="K351" s="84"/>
      <c r="L351" s="61" t="str">
        <f t="shared" si="5"/>
        <v>NOT CONCLUSIVE</v>
      </c>
    </row>
    <row r="352" spans="2:12" x14ac:dyDescent="0.25">
      <c r="B352" s="59"/>
      <c r="C352" s="60"/>
      <c r="D352" s="62"/>
      <c r="E352" s="62"/>
      <c r="F352" s="62"/>
      <c r="G352" s="62"/>
      <c r="H352" s="62"/>
      <c r="I352" s="84"/>
      <c r="J352" s="84"/>
      <c r="K352" s="84"/>
      <c r="L352" s="61" t="str">
        <f t="shared" si="5"/>
        <v>NOT CONCLUSIVE</v>
      </c>
    </row>
    <row r="353" spans="2:12" x14ac:dyDescent="0.25">
      <c r="B353" s="59"/>
      <c r="C353" s="60"/>
      <c r="D353" s="62"/>
      <c r="E353" s="62"/>
      <c r="F353" s="62"/>
      <c r="G353" s="62"/>
      <c r="H353" s="62"/>
      <c r="I353" s="84"/>
      <c r="J353" s="84"/>
      <c r="K353" s="84"/>
      <c r="L353" s="61" t="str">
        <f t="shared" si="5"/>
        <v>NOT CONCLUSIVE</v>
      </c>
    </row>
    <row r="354" spans="2:12" x14ac:dyDescent="0.25">
      <c r="B354" s="59"/>
      <c r="C354" s="60"/>
      <c r="D354" s="62"/>
      <c r="E354" s="62"/>
      <c r="F354" s="62"/>
      <c r="G354" s="62"/>
      <c r="H354" s="62"/>
      <c r="I354" s="84"/>
      <c r="J354" s="84"/>
      <c r="K354" s="84"/>
      <c r="L354" s="61" t="str">
        <f t="shared" si="5"/>
        <v>NOT CONCLUSIVE</v>
      </c>
    </row>
    <row r="355" spans="2:12" x14ac:dyDescent="0.25">
      <c r="B355" s="59"/>
      <c r="C355" s="60"/>
      <c r="D355" s="62"/>
      <c r="E355" s="62"/>
      <c r="F355" s="62"/>
      <c r="G355" s="62"/>
      <c r="H355" s="62"/>
      <c r="I355" s="84"/>
      <c r="J355" s="84"/>
      <c r="K355" s="84"/>
      <c r="L355" s="61" t="str">
        <f t="shared" si="5"/>
        <v>NOT CONCLUSIVE</v>
      </c>
    </row>
  </sheetData>
  <conditionalFormatting sqref="L3">
    <cfRule type="cellIs" dxfId="52" priority="6" operator="equal">
      <formula>"BULLISH"</formula>
    </cfRule>
    <cfRule type="cellIs" dxfId="51" priority="7" operator="equal">
      <formula>"BEARISH"</formula>
    </cfRule>
  </conditionalFormatting>
  <conditionalFormatting sqref="L4:L355">
    <cfRule type="cellIs" dxfId="50" priority="2" operator="equal">
      <formula>"BULLISH"</formula>
    </cfRule>
    <cfRule type="cellIs" dxfId="49" priority="3" operator="equal">
      <formula>"BEARISH"</formula>
    </cfRule>
  </conditionalFormatting>
  <conditionalFormatting sqref="L4:L355">
    <cfRule type="cellIs" dxfId="48" priority="1" operator="equal">
      <formula>"NOT CONCLUSIVE"</formula>
    </cfRule>
  </conditionalFormatting>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B2:N300"/>
  <sheetViews>
    <sheetView showGridLines="0" topLeftCell="A19" zoomScaleNormal="100" workbookViewId="0">
      <selection activeCell="B39" sqref="B39:K39"/>
    </sheetView>
  </sheetViews>
  <sheetFormatPr defaultRowHeight="15" x14ac:dyDescent="0.25"/>
  <cols>
    <col min="1" max="1" width="3.42578125" style="21" customWidth="1"/>
    <col min="2" max="2" width="7.7109375" style="21" customWidth="1"/>
    <col min="3" max="3" width="10.28515625" style="21" customWidth="1"/>
    <col min="4" max="4" width="13.42578125" style="21" customWidth="1"/>
    <col min="5" max="5" width="12.28515625" style="21" customWidth="1"/>
    <col min="6" max="6" width="13" style="21" customWidth="1"/>
    <col min="7" max="7" width="13.42578125" style="21" customWidth="1"/>
    <col min="8" max="8" width="13.28515625" style="21" customWidth="1"/>
    <col min="9" max="11" width="12.28515625" style="21" customWidth="1"/>
    <col min="12" max="12" width="14.7109375" style="21" customWidth="1"/>
    <col min="13" max="16384" width="9.140625" style="21"/>
  </cols>
  <sheetData>
    <row r="2" spans="2:14" ht="31.5" customHeight="1" x14ac:dyDescent="0.25">
      <c r="B2" s="54" t="s">
        <v>55</v>
      </c>
      <c r="C2" s="54" t="s">
        <v>222</v>
      </c>
      <c r="D2" s="54" t="s">
        <v>58</v>
      </c>
      <c r="E2" s="54" t="s">
        <v>59</v>
      </c>
      <c r="F2" s="54" t="s">
        <v>223</v>
      </c>
      <c r="G2" s="54" t="s">
        <v>224</v>
      </c>
      <c r="H2" s="54" t="s">
        <v>53</v>
      </c>
      <c r="I2" s="54" t="s">
        <v>232</v>
      </c>
      <c r="J2" s="54" t="s">
        <v>233</v>
      </c>
      <c r="K2" s="54" t="s">
        <v>236</v>
      </c>
      <c r="L2" s="55" t="s">
        <v>231</v>
      </c>
    </row>
    <row r="3" spans="2:14" x14ac:dyDescent="0.25">
      <c r="B3" s="56">
        <v>0</v>
      </c>
      <c r="C3" s="57">
        <v>0</v>
      </c>
      <c r="D3" s="57">
        <v>0</v>
      </c>
      <c r="E3" s="57">
        <v>0</v>
      </c>
      <c r="F3" s="57"/>
      <c r="G3" s="57"/>
      <c r="H3" s="57">
        <v>0</v>
      </c>
      <c r="I3" s="57"/>
      <c r="J3" s="57"/>
      <c r="K3" s="57"/>
      <c r="L3" s="58">
        <v>0</v>
      </c>
    </row>
    <row r="4" spans="2:14" x14ac:dyDescent="0.25">
      <c r="B4" s="59">
        <v>44785.395646064811</v>
      </c>
      <c r="C4" s="60">
        <v>38840.400000000001</v>
      </c>
      <c r="D4" s="62">
        <v>43047500</v>
      </c>
      <c r="E4" s="62">
        <v>35514000</v>
      </c>
      <c r="F4" s="62">
        <v>519371</v>
      </c>
      <c r="G4" s="62">
        <v>457131</v>
      </c>
      <c r="H4" s="62">
        <v>-7533500</v>
      </c>
      <c r="I4" s="84">
        <v>14.56</v>
      </c>
      <c r="J4" s="84">
        <v>18.829999999999998</v>
      </c>
      <c r="K4" s="84">
        <v>1.23</v>
      </c>
      <c r="L4" s="61" t="str">
        <f>IF(D4&gt;E4,"BEARISH",IF(D4&lt;E4,"BULLISH","NOT CONCLUSIVE"))</f>
        <v>BEARISH</v>
      </c>
      <c r="N4" s="22"/>
    </row>
    <row r="5" spans="2:14" x14ac:dyDescent="0.25">
      <c r="B5" s="59">
        <v>44785.402465509258</v>
      </c>
      <c r="C5" s="60">
        <v>38772.35</v>
      </c>
      <c r="D5" s="62">
        <v>68612000</v>
      </c>
      <c r="E5" s="62">
        <v>50023500</v>
      </c>
      <c r="F5" s="62">
        <v>831774</v>
      </c>
      <c r="G5" s="62">
        <v>783500</v>
      </c>
      <c r="H5" s="62">
        <v>-18588500</v>
      </c>
      <c r="I5" s="84">
        <v>15.32</v>
      </c>
      <c r="J5" s="84">
        <v>18.489999999999998</v>
      </c>
      <c r="K5" s="84">
        <v>1.1200000000000001</v>
      </c>
      <c r="L5" s="61" t="str">
        <f t="shared" ref="L5:L68" si="0">IF(D5&gt;E5,"BEARISH",IF(D5&lt;E5,"BULLISH","NOT CONCLUSIVE"))</f>
        <v>BEARISH</v>
      </c>
      <c r="N5" s="23"/>
    </row>
    <row r="6" spans="2:14" x14ac:dyDescent="0.25">
      <c r="B6" s="59">
        <v>44785.402597106484</v>
      </c>
      <c r="C6" s="60">
        <v>38772.35</v>
      </c>
      <c r="D6" s="62">
        <v>68612000</v>
      </c>
      <c r="E6" s="62">
        <v>50023500</v>
      </c>
      <c r="F6" s="62">
        <v>831774</v>
      </c>
      <c r="G6" s="62">
        <v>783500</v>
      </c>
      <c r="H6" s="62">
        <v>-18588500</v>
      </c>
      <c r="I6" s="84">
        <v>15.32</v>
      </c>
      <c r="J6" s="84">
        <v>18.489999999999998</v>
      </c>
      <c r="K6" s="84">
        <v>1.1200000000000001</v>
      </c>
      <c r="L6" s="61" t="str">
        <f t="shared" si="0"/>
        <v>BEARISH</v>
      </c>
      <c r="N6" s="23"/>
    </row>
    <row r="7" spans="2:14" x14ac:dyDescent="0.25">
      <c r="B7" s="59">
        <v>44785.409411342589</v>
      </c>
      <c r="C7" s="60">
        <v>38789.800000000003</v>
      </c>
      <c r="D7" s="62">
        <v>84734000</v>
      </c>
      <c r="E7" s="62">
        <v>67682500</v>
      </c>
      <c r="F7" s="62">
        <v>1039740</v>
      </c>
      <c r="G7" s="62">
        <v>997793</v>
      </c>
      <c r="H7" s="62">
        <v>-17051500</v>
      </c>
      <c r="I7" s="84">
        <v>14.61</v>
      </c>
      <c r="J7" s="84">
        <v>18.45</v>
      </c>
      <c r="K7" s="84">
        <v>1.1000000000000001</v>
      </c>
      <c r="L7" s="61" t="str">
        <f t="shared" si="0"/>
        <v>BEARISH</v>
      </c>
      <c r="N7" s="23"/>
    </row>
    <row r="8" spans="2:14" x14ac:dyDescent="0.25">
      <c r="B8" s="59">
        <v>44785.409541898145</v>
      </c>
      <c r="C8" s="60">
        <v>38789.800000000003</v>
      </c>
      <c r="D8" s="62">
        <v>84734000</v>
      </c>
      <c r="E8" s="62">
        <v>67682500</v>
      </c>
      <c r="F8" s="62">
        <v>1039740</v>
      </c>
      <c r="G8" s="62">
        <v>997793</v>
      </c>
      <c r="H8" s="62">
        <v>-17051500</v>
      </c>
      <c r="I8" s="84">
        <v>14.61</v>
      </c>
      <c r="J8" s="84">
        <v>18.45</v>
      </c>
      <c r="K8" s="84">
        <v>1.1000000000000001</v>
      </c>
      <c r="L8" s="61" t="str">
        <f t="shared" si="0"/>
        <v>BEARISH</v>
      </c>
      <c r="N8" s="23"/>
    </row>
    <row r="9" spans="2:14" x14ac:dyDescent="0.25">
      <c r="B9" s="59">
        <v>44785.416358680559</v>
      </c>
      <c r="C9" s="60">
        <v>38842.800000000003</v>
      </c>
      <c r="D9" s="62">
        <v>89225000</v>
      </c>
      <c r="E9" s="62">
        <v>72402000</v>
      </c>
      <c r="F9" s="62">
        <v>1228028</v>
      </c>
      <c r="G9" s="62">
        <v>1174137</v>
      </c>
      <c r="H9" s="62">
        <v>-16823000</v>
      </c>
      <c r="I9" s="84">
        <v>14.3</v>
      </c>
      <c r="J9" s="84">
        <v>18.32</v>
      </c>
      <c r="K9" s="84">
        <v>1.21</v>
      </c>
      <c r="L9" s="61" t="str">
        <f t="shared" si="0"/>
        <v>BEARISH</v>
      </c>
      <c r="N9" s="23"/>
    </row>
    <row r="10" spans="2:14" x14ac:dyDescent="0.25">
      <c r="B10" s="59">
        <v>44785.41648576389</v>
      </c>
      <c r="C10" s="60">
        <v>38842.800000000003</v>
      </c>
      <c r="D10" s="62">
        <v>89225000</v>
      </c>
      <c r="E10" s="62">
        <v>72402000</v>
      </c>
      <c r="F10" s="62">
        <v>1228028</v>
      </c>
      <c r="G10" s="62">
        <v>1174137</v>
      </c>
      <c r="H10" s="62">
        <v>-16823000</v>
      </c>
      <c r="I10" s="84">
        <v>14.3</v>
      </c>
      <c r="J10" s="84">
        <v>18.32</v>
      </c>
      <c r="K10" s="84">
        <v>1.21</v>
      </c>
      <c r="L10" s="61" t="str">
        <f t="shared" si="0"/>
        <v>BEARISH</v>
      </c>
      <c r="N10" s="23"/>
    </row>
    <row r="11" spans="2:14" x14ac:dyDescent="0.25">
      <c r="B11" s="59">
        <v>44785.434411111113</v>
      </c>
      <c r="C11" s="60">
        <v>38820.800000000003</v>
      </c>
      <c r="D11" s="62">
        <v>90778500</v>
      </c>
      <c r="E11" s="62">
        <v>75811500</v>
      </c>
      <c r="F11" s="62">
        <v>1300826</v>
      </c>
      <c r="G11" s="62">
        <v>1239522</v>
      </c>
      <c r="H11" s="62">
        <v>-14967000</v>
      </c>
      <c r="I11" s="84">
        <v>14.84</v>
      </c>
      <c r="J11" s="84">
        <v>17.95</v>
      </c>
      <c r="K11" s="84">
        <v>1.28</v>
      </c>
      <c r="L11" s="61" t="str">
        <f t="shared" si="0"/>
        <v>BEARISH</v>
      </c>
      <c r="N11" s="23"/>
    </row>
    <row r="12" spans="2:14" x14ac:dyDescent="0.25">
      <c r="B12" s="59">
        <v>44785.434413194445</v>
      </c>
      <c r="C12" s="60">
        <v>38820.800000000003</v>
      </c>
      <c r="D12" s="62">
        <v>90778500</v>
      </c>
      <c r="E12" s="62">
        <v>75811500</v>
      </c>
      <c r="F12" s="62">
        <v>1300826</v>
      </c>
      <c r="G12" s="62">
        <v>1239522</v>
      </c>
      <c r="H12" s="62">
        <v>-14967000</v>
      </c>
      <c r="I12" s="84">
        <v>14.84</v>
      </c>
      <c r="J12" s="84">
        <v>17.95</v>
      </c>
      <c r="K12" s="84">
        <v>1.28</v>
      </c>
      <c r="L12" s="61" t="str">
        <f t="shared" si="0"/>
        <v>BEARISH</v>
      </c>
      <c r="N12" s="23"/>
    </row>
    <row r="13" spans="2:14" x14ac:dyDescent="0.25">
      <c r="B13" s="59">
        <v>44785.4413599537</v>
      </c>
      <c r="C13" s="60">
        <v>38849.050000000003</v>
      </c>
      <c r="D13" s="62">
        <v>105497000</v>
      </c>
      <c r="E13" s="62">
        <v>83948000</v>
      </c>
      <c r="F13" s="62">
        <v>1678002</v>
      </c>
      <c r="G13" s="62">
        <v>1582240</v>
      </c>
      <c r="H13" s="62">
        <v>-21549000</v>
      </c>
      <c r="I13" s="84">
        <v>14.22</v>
      </c>
      <c r="J13" s="84">
        <v>17.489999999999998</v>
      </c>
      <c r="K13" s="84">
        <v>1.27</v>
      </c>
      <c r="L13" s="61" t="str">
        <f t="shared" si="0"/>
        <v>BEARISH</v>
      </c>
      <c r="N13" s="23"/>
    </row>
    <row r="14" spans="2:14" x14ac:dyDescent="0.25">
      <c r="B14" s="59">
        <v>44785.44136261574</v>
      </c>
      <c r="C14" s="60">
        <v>38849.050000000003</v>
      </c>
      <c r="D14" s="62">
        <v>105497000</v>
      </c>
      <c r="E14" s="62">
        <v>83948000</v>
      </c>
      <c r="F14" s="62">
        <v>1678002</v>
      </c>
      <c r="G14" s="62">
        <v>1582240</v>
      </c>
      <c r="H14" s="62">
        <v>-21549000</v>
      </c>
      <c r="I14" s="84">
        <v>14.22</v>
      </c>
      <c r="J14" s="84">
        <v>17.489999999999998</v>
      </c>
      <c r="K14" s="84">
        <v>1.27</v>
      </c>
      <c r="L14" s="61" t="str">
        <f t="shared" si="0"/>
        <v>BEARISH</v>
      </c>
      <c r="N14" s="23"/>
    </row>
    <row r="15" spans="2:14" x14ac:dyDescent="0.25">
      <c r="B15" s="59">
        <v>44785.448304050929</v>
      </c>
      <c r="C15" s="60">
        <v>38809.449999999997</v>
      </c>
      <c r="D15" s="62">
        <v>108108000</v>
      </c>
      <c r="E15" s="62">
        <v>84987500</v>
      </c>
      <c r="F15" s="62">
        <v>1797522</v>
      </c>
      <c r="G15" s="62">
        <v>1682851</v>
      </c>
      <c r="H15" s="62">
        <v>-23120500</v>
      </c>
      <c r="I15" s="84">
        <v>14.22</v>
      </c>
      <c r="J15" s="84">
        <v>17.489999999999998</v>
      </c>
      <c r="K15" s="84">
        <v>1.24</v>
      </c>
      <c r="L15" s="61" t="str">
        <f t="shared" si="0"/>
        <v>BEARISH</v>
      </c>
      <c r="N15" s="23"/>
    </row>
    <row r="16" spans="2:14" x14ac:dyDescent="0.25">
      <c r="B16" s="59">
        <v>44785.448306481485</v>
      </c>
      <c r="C16" s="60">
        <v>38809.449999999997</v>
      </c>
      <c r="D16" s="62">
        <v>108108000</v>
      </c>
      <c r="E16" s="62">
        <v>84987500</v>
      </c>
      <c r="F16" s="62">
        <v>1797522</v>
      </c>
      <c r="G16" s="62">
        <v>1682851</v>
      </c>
      <c r="H16" s="62">
        <v>-23120500</v>
      </c>
      <c r="I16" s="84">
        <v>14.22</v>
      </c>
      <c r="J16" s="84">
        <v>17.489999999999998</v>
      </c>
      <c r="K16" s="84">
        <v>1.24</v>
      </c>
      <c r="L16" s="61" t="str">
        <f t="shared" si="0"/>
        <v>BEARISH</v>
      </c>
      <c r="N16" s="23"/>
    </row>
    <row r="17" spans="2:14" x14ac:dyDescent="0.25">
      <c r="B17" s="59">
        <v>44785.455251388892</v>
      </c>
      <c r="C17" s="60">
        <v>38838.9</v>
      </c>
      <c r="D17" s="62">
        <v>107225500</v>
      </c>
      <c r="E17" s="62">
        <v>82113000</v>
      </c>
      <c r="F17" s="62">
        <v>1931651</v>
      </c>
      <c r="G17" s="62">
        <v>1806689</v>
      </c>
      <c r="H17" s="62">
        <v>-25112500</v>
      </c>
      <c r="I17" s="84">
        <v>13.44</v>
      </c>
      <c r="J17" s="84">
        <v>17.7</v>
      </c>
      <c r="K17" s="84">
        <v>1.24</v>
      </c>
      <c r="L17" s="61" t="str">
        <f t="shared" si="0"/>
        <v>BEARISH</v>
      </c>
      <c r="N17" s="23"/>
    </row>
    <row r="18" spans="2:14" x14ac:dyDescent="0.25">
      <c r="B18" s="59">
        <v>44785.45525648148</v>
      </c>
      <c r="C18" s="60">
        <v>38838.9</v>
      </c>
      <c r="D18" s="62">
        <v>107225500</v>
      </c>
      <c r="E18" s="62">
        <v>82113000</v>
      </c>
      <c r="F18" s="62">
        <v>1931651</v>
      </c>
      <c r="G18" s="62">
        <v>1806689</v>
      </c>
      <c r="H18" s="62">
        <v>-25112500</v>
      </c>
      <c r="I18" s="84">
        <v>13.44</v>
      </c>
      <c r="J18" s="84">
        <v>17.7</v>
      </c>
      <c r="K18" s="84">
        <v>1.24</v>
      </c>
      <c r="L18" s="61" t="str">
        <f t="shared" si="0"/>
        <v>BEARISH</v>
      </c>
      <c r="N18" s="23"/>
    </row>
    <row r="19" spans="2:14" x14ac:dyDescent="0.25">
      <c r="B19" s="59">
        <v>44785.462212500002</v>
      </c>
      <c r="C19" s="60">
        <v>38885.9</v>
      </c>
      <c r="D19" s="62">
        <v>107306000</v>
      </c>
      <c r="E19" s="62">
        <v>83355500</v>
      </c>
      <c r="F19" s="62">
        <v>2045896</v>
      </c>
      <c r="G19" s="62">
        <v>1898170</v>
      </c>
      <c r="H19" s="62">
        <v>-23950500</v>
      </c>
      <c r="I19" s="84">
        <v>10.24</v>
      </c>
      <c r="J19" s="84">
        <v>17.79</v>
      </c>
      <c r="K19" s="84">
        <v>1.28</v>
      </c>
      <c r="L19" s="61" t="str">
        <f t="shared" si="0"/>
        <v>BEARISH</v>
      </c>
      <c r="N19" s="23"/>
    </row>
    <row r="20" spans="2:14" x14ac:dyDescent="0.25">
      <c r="B20" s="59">
        <v>44785.462221643516</v>
      </c>
      <c r="C20" s="60">
        <v>38885.9</v>
      </c>
      <c r="D20" s="62">
        <v>107306000</v>
      </c>
      <c r="E20" s="62">
        <v>83355500</v>
      </c>
      <c r="F20" s="62">
        <v>2045896</v>
      </c>
      <c r="G20" s="62">
        <v>1898170</v>
      </c>
      <c r="H20" s="62">
        <v>-23950500</v>
      </c>
      <c r="I20" s="84">
        <v>10.24</v>
      </c>
      <c r="J20" s="84">
        <v>17.79</v>
      </c>
      <c r="K20" s="84">
        <v>1.28</v>
      </c>
      <c r="L20" s="61" t="str">
        <f t="shared" si="0"/>
        <v>BEARISH</v>
      </c>
      <c r="N20" s="23"/>
    </row>
    <row r="21" spans="2:14" x14ac:dyDescent="0.25">
      <c r="B21" s="59">
        <v>44785.46916226852</v>
      </c>
      <c r="C21" s="60">
        <v>38911.800000000003</v>
      </c>
      <c r="D21" s="62">
        <v>108273500</v>
      </c>
      <c r="E21" s="62">
        <v>85903000</v>
      </c>
      <c r="F21" s="62">
        <v>2165211</v>
      </c>
      <c r="G21" s="62">
        <v>1990581</v>
      </c>
      <c r="H21" s="62">
        <v>-22370500</v>
      </c>
      <c r="I21" s="84">
        <v>10.01</v>
      </c>
      <c r="J21" s="84">
        <v>17.829999999999998</v>
      </c>
      <c r="K21" s="84">
        <v>1.3</v>
      </c>
      <c r="L21" s="61" t="str">
        <f t="shared" si="0"/>
        <v>BEARISH</v>
      </c>
      <c r="N21" s="23"/>
    </row>
    <row r="22" spans="2:14" x14ac:dyDescent="0.25">
      <c r="B22" s="59">
        <v>44785.46916828704</v>
      </c>
      <c r="C22" s="60">
        <v>38911.800000000003</v>
      </c>
      <c r="D22" s="62">
        <v>108273500</v>
      </c>
      <c r="E22" s="62">
        <v>85903000</v>
      </c>
      <c r="F22" s="62">
        <v>2165211</v>
      </c>
      <c r="G22" s="62">
        <v>1990581</v>
      </c>
      <c r="H22" s="62">
        <v>-22370500</v>
      </c>
      <c r="I22" s="84">
        <v>10.01</v>
      </c>
      <c r="J22" s="84">
        <v>17.829999999999998</v>
      </c>
      <c r="K22" s="84">
        <v>1.3</v>
      </c>
      <c r="L22" s="61" t="str">
        <f t="shared" si="0"/>
        <v>BEARISH</v>
      </c>
      <c r="N22" s="23"/>
    </row>
    <row r="23" spans="2:14" x14ac:dyDescent="0.25">
      <c r="B23" s="59">
        <v>44785.476104398149</v>
      </c>
      <c r="C23" s="60">
        <v>38903</v>
      </c>
      <c r="D23" s="62">
        <v>107259500</v>
      </c>
      <c r="E23" s="62">
        <v>86484500</v>
      </c>
      <c r="F23" s="62">
        <v>2238164</v>
      </c>
      <c r="G23" s="62">
        <v>2048771</v>
      </c>
      <c r="H23" s="62">
        <v>-20775000</v>
      </c>
      <c r="I23" s="84">
        <v>10.01</v>
      </c>
      <c r="J23" s="84">
        <v>17.829999999999998</v>
      </c>
      <c r="K23" s="84">
        <v>1.33</v>
      </c>
      <c r="L23" s="61" t="str">
        <f t="shared" si="0"/>
        <v>BEARISH</v>
      </c>
      <c r="N23" s="23"/>
    </row>
    <row r="24" spans="2:14" x14ac:dyDescent="0.25">
      <c r="B24" s="59">
        <v>44785.47611354167</v>
      </c>
      <c r="C24" s="60">
        <v>38903</v>
      </c>
      <c r="D24" s="62">
        <v>107259500</v>
      </c>
      <c r="E24" s="62">
        <v>86484500</v>
      </c>
      <c r="F24" s="62">
        <v>2238164</v>
      </c>
      <c r="G24" s="62">
        <v>2048771</v>
      </c>
      <c r="H24" s="62">
        <v>-20775000</v>
      </c>
      <c r="I24" s="84">
        <v>10.01</v>
      </c>
      <c r="J24" s="84">
        <v>17.829999999999998</v>
      </c>
      <c r="K24" s="84">
        <v>1.33</v>
      </c>
      <c r="L24" s="61" t="str">
        <f t="shared" si="0"/>
        <v>BEARISH</v>
      </c>
      <c r="N24" s="23"/>
    </row>
    <row r="25" spans="2:14" x14ac:dyDescent="0.25">
      <c r="B25" s="59">
        <v>44785.483049189817</v>
      </c>
      <c r="C25" s="60">
        <v>38970.85</v>
      </c>
      <c r="D25" s="62">
        <v>101049000</v>
      </c>
      <c r="E25" s="62">
        <v>93646000</v>
      </c>
      <c r="F25" s="62">
        <v>2554972</v>
      </c>
      <c r="G25" s="62">
        <v>2247017</v>
      </c>
      <c r="H25" s="62">
        <v>-7403000</v>
      </c>
      <c r="I25" s="84">
        <v>9.7899999999999991</v>
      </c>
      <c r="J25" s="84">
        <v>17.899999999999999</v>
      </c>
      <c r="K25" s="84">
        <v>1.45</v>
      </c>
      <c r="L25" s="61" t="str">
        <f t="shared" si="0"/>
        <v>BEARISH</v>
      </c>
      <c r="N25" s="23"/>
    </row>
    <row r="26" spans="2:14" x14ac:dyDescent="0.25">
      <c r="B26" s="59">
        <v>44785.483094560186</v>
      </c>
      <c r="C26" s="60">
        <v>38970.85</v>
      </c>
      <c r="D26" s="62">
        <v>101049000</v>
      </c>
      <c r="E26" s="62">
        <v>93646000</v>
      </c>
      <c r="F26" s="62">
        <v>2554972</v>
      </c>
      <c r="G26" s="62">
        <v>2247017</v>
      </c>
      <c r="H26" s="62">
        <v>-7403000</v>
      </c>
      <c r="I26" s="84">
        <v>9.7899999999999991</v>
      </c>
      <c r="J26" s="84">
        <v>17.899999999999999</v>
      </c>
      <c r="K26" s="84">
        <v>1.45</v>
      </c>
      <c r="L26" s="61" t="str">
        <f t="shared" si="0"/>
        <v>BEARISH</v>
      </c>
      <c r="N26" s="23"/>
    </row>
    <row r="27" spans="2:14" x14ac:dyDescent="0.25">
      <c r="B27" s="59">
        <v>44785.490042708334</v>
      </c>
      <c r="C27" s="60">
        <v>38972.9</v>
      </c>
      <c r="D27" s="62">
        <v>96115500</v>
      </c>
      <c r="E27" s="62">
        <v>104774000</v>
      </c>
      <c r="F27" s="62">
        <v>2804020</v>
      </c>
      <c r="G27" s="62">
        <v>2422089</v>
      </c>
      <c r="H27" s="62">
        <v>8658500</v>
      </c>
      <c r="I27" s="84">
        <v>10.34</v>
      </c>
      <c r="J27" s="84">
        <v>17.760000000000002</v>
      </c>
      <c r="K27" s="84">
        <v>1.56</v>
      </c>
      <c r="L27" s="61" t="str">
        <f t="shared" si="0"/>
        <v>BULLISH</v>
      </c>
      <c r="N27" s="23"/>
    </row>
    <row r="28" spans="2:14" x14ac:dyDescent="0.25">
      <c r="B28" s="59">
        <v>44785.49008275463</v>
      </c>
      <c r="C28" s="60">
        <v>38972.9</v>
      </c>
      <c r="D28" s="62">
        <v>96115500</v>
      </c>
      <c r="E28" s="62">
        <v>104774000</v>
      </c>
      <c r="F28" s="62">
        <v>2804020</v>
      </c>
      <c r="G28" s="62">
        <v>2422089</v>
      </c>
      <c r="H28" s="62">
        <v>8658500</v>
      </c>
      <c r="I28" s="84">
        <v>10.34</v>
      </c>
      <c r="J28" s="84">
        <v>17.760000000000002</v>
      </c>
      <c r="K28" s="84">
        <v>1.56</v>
      </c>
      <c r="L28" s="61" t="str">
        <f t="shared" si="0"/>
        <v>BULLISH</v>
      </c>
      <c r="N28" s="23"/>
    </row>
    <row r="29" spans="2:14" x14ac:dyDescent="0.25">
      <c r="B29" s="59">
        <v>44785.510121643521</v>
      </c>
      <c r="C29" s="60">
        <v>38968.25</v>
      </c>
      <c r="D29" s="62">
        <v>98924500</v>
      </c>
      <c r="E29" s="62">
        <v>106349500</v>
      </c>
      <c r="F29" s="62">
        <v>2873297</v>
      </c>
      <c r="G29" s="62">
        <v>2479765</v>
      </c>
      <c r="H29" s="62">
        <v>7425000</v>
      </c>
      <c r="I29" s="84">
        <v>10.34</v>
      </c>
      <c r="J29" s="84">
        <v>17.760000000000002</v>
      </c>
      <c r="K29" s="84">
        <v>1.55</v>
      </c>
      <c r="L29" s="61" t="str">
        <f t="shared" si="0"/>
        <v>BULLISH</v>
      </c>
      <c r="N29" s="23"/>
    </row>
    <row r="30" spans="2:14" x14ac:dyDescent="0.25">
      <c r="B30" s="59">
        <v>44785.510127083333</v>
      </c>
      <c r="C30" s="60">
        <v>38968.25</v>
      </c>
      <c r="D30" s="62">
        <v>98924500</v>
      </c>
      <c r="E30" s="62">
        <v>106349500</v>
      </c>
      <c r="F30" s="62">
        <v>2873297</v>
      </c>
      <c r="G30" s="62">
        <v>2479765</v>
      </c>
      <c r="H30" s="62">
        <v>7425000</v>
      </c>
      <c r="I30" s="84">
        <v>10.34</v>
      </c>
      <c r="J30" s="84">
        <v>17.760000000000002</v>
      </c>
      <c r="K30" s="84">
        <v>1.55</v>
      </c>
      <c r="L30" s="61" t="str">
        <f t="shared" si="0"/>
        <v>BULLISH</v>
      </c>
    </row>
    <row r="31" spans="2:14" x14ac:dyDescent="0.25">
      <c r="B31" s="59">
        <v>44785.517139814816</v>
      </c>
      <c r="C31" s="60">
        <v>38980.65</v>
      </c>
      <c r="D31" s="62">
        <v>105428500</v>
      </c>
      <c r="E31" s="62">
        <v>115034000</v>
      </c>
      <c r="F31" s="62">
        <v>3332837</v>
      </c>
      <c r="G31" s="62">
        <v>2837419</v>
      </c>
      <c r="H31" s="62">
        <v>9605500</v>
      </c>
      <c r="I31" s="84">
        <v>10.28</v>
      </c>
      <c r="J31" s="84">
        <v>17.399999999999999</v>
      </c>
      <c r="K31" s="84">
        <v>1.58</v>
      </c>
      <c r="L31" s="61" t="str">
        <f t="shared" si="0"/>
        <v>BULLISH</v>
      </c>
    </row>
    <row r="32" spans="2:14" x14ac:dyDescent="0.25">
      <c r="B32" s="59">
        <v>44785.517141203702</v>
      </c>
      <c r="C32" s="60">
        <v>38980.65</v>
      </c>
      <c r="D32" s="62">
        <v>105428500</v>
      </c>
      <c r="E32" s="62">
        <v>115034000</v>
      </c>
      <c r="F32" s="62">
        <v>3332837</v>
      </c>
      <c r="G32" s="62">
        <v>2837419</v>
      </c>
      <c r="H32" s="62">
        <v>9605500</v>
      </c>
      <c r="I32" s="84">
        <v>10.28</v>
      </c>
      <c r="J32" s="84">
        <v>17.399999999999999</v>
      </c>
      <c r="K32" s="84">
        <v>1.58</v>
      </c>
      <c r="L32" s="61" t="str">
        <f t="shared" si="0"/>
        <v>BULLISH</v>
      </c>
    </row>
    <row r="33" spans="2:12" x14ac:dyDescent="0.25">
      <c r="B33" s="59">
        <v>44785.52409363426</v>
      </c>
      <c r="C33" s="60">
        <v>39024.75</v>
      </c>
      <c r="D33" s="62">
        <v>107273000</v>
      </c>
      <c r="E33" s="62">
        <v>116787500</v>
      </c>
      <c r="F33" s="62">
        <v>3508447</v>
      </c>
      <c r="G33" s="62">
        <v>2935599</v>
      </c>
      <c r="H33" s="62">
        <v>9514500</v>
      </c>
      <c r="I33" s="84">
        <v>10.28</v>
      </c>
      <c r="J33" s="84">
        <v>17.399999999999999</v>
      </c>
      <c r="K33" s="84">
        <v>1.6</v>
      </c>
      <c r="L33" s="61" t="str">
        <f t="shared" si="0"/>
        <v>BULLISH</v>
      </c>
    </row>
    <row r="34" spans="2:12" x14ac:dyDescent="0.25">
      <c r="B34" s="59">
        <v>44785.524101157411</v>
      </c>
      <c r="C34" s="60">
        <v>39024.75</v>
      </c>
      <c r="D34" s="62">
        <v>107273000</v>
      </c>
      <c r="E34" s="62">
        <v>116787500</v>
      </c>
      <c r="F34" s="62">
        <v>3508447</v>
      </c>
      <c r="G34" s="62">
        <v>2935599</v>
      </c>
      <c r="H34" s="62">
        <v>9514500</v>
      </c>
      <c r="I34" s="84">
        <v>10.28</v>
      </c>
      <c r="J34" s="84">
        <v>17.399999999999999</v>
      </c>
      <c r="K34" s="84">
        <v>1.6</v>
      </c>
      <c r="L34" s="61" t="str">
        <f t="shared" si="0"/>
        <v>BULLISH</v>
      </c>
    </row>
    <row r="35" spans="2:12" x14ac:dyDescent="0.25">
      <c r="B35" s="59">
        <v>44785.531049652775</v>
      </c>
      <c r="C35" s="60">
        <v>39030.75</v>
      </c>
      <c r="D35" s="62">
        <v>107617000</v>
      </c>
      <c r="E35" s="62">
        <v>121343000</v>
      </c>
      <c r="F35" s="62">
        <v>3673598</v>
      </c>
      <c r="G35" s="62">
        <v>3033912</v>
      </c>
      <c r="H35" s="62">
        <v>13726000</v>
      </c>
      <c r="I35" s="84">
        <v>10.25</v>
      </c>
      <c r="J35" s="84">
        <v>17.46</v>
      </c>
      <c r="K35" s="84">
        <v>1.69</v>
      </c>
      <c r="L35" s="61" t="str">
        <f t="shared" si="0"/>
        <v>BULLISH</v>
      </c>
    </row>
    <row r="36" spans="2:12" x14ac:dyDescent="0.25">
      <c r="B36" s="59">
        <v>44785.531057638887</v>
      </c>
      <c r="C36" s="60">
        <v>39030.75</v>
      </c>
      <c r="D36" s="62">
        <v>107617000</v>
      </c>
      <c r="E36" s="62">
        <v>121343000</v>
      </c>
      <c r="F36" s="62">
        <v>3673598</v>
      </c>
      <c r="G36" s="62">
        <v>3033912</v>
      </c>
      <c r="H36" s="62">
        <v>13726000</v>
      </c>
      <c r="I36" s="84">
        <v>10.25</v>
      </c>
      <c r="J36" s="84">
        <v>17.46</v>
      </c>
      <c r="K36" s="84">
        <v>1.69</v>
      </c>
      <c r="L36" s="61" t="str">
        <f t="shared" si="0"/>
        <v>BULLISH</v>
      </c>
    </row>
    <row r="37" spans="2:12" x14ac:dyDescent="0.25">
      <c r="B37" s="59">
        <v>44785.543688888887</v>
      </c>
      <c r="C37" s="60">
        <v>39030.75</v>
      </c>
      <c r="D37" s="62">
        <v>107081000</v>
      </c>
      <c r="E37" s="62">
        <v>123272500</v>
      </c>
      <c r="F37" s="62">
        <v>3714652</v>
      </c>
      <c r="G37" s="62">
        <v>3060802</v>
      </c>
      <c r="H37" s="62">
        <v>16191500</v>
      </c>
      <c r="I37" s="84">
        <v>10.25</v>
      </c>
      <c r="J37" s="84">
        <v>17.46</v>
      </c>
      <c r="K37" s="84">
        <v>1.67</v>
      </c>
      <c r="L37" s="61" t="str">
        <f t="shared" si="0"/>
        <v>BULLISH</v>
      </c>
    </row>
    <row r="38" spans="2:12" x14ac:dyDescent="0.25">
      <c r="B38" s="59">
        <v>44785.543695601853</v>
      </c>
      <c r="C38" s="60">
        <v>39030.75</v>
      </c>
      <c r="D38" s="62">
        <v>107081000</v>
      </c>
      <c r="E38" s="62">
        <v>123272500</v>
      </c>
      <c r="F38" s="62">
        <v>3714652</v>
      </c>
      <c r="G38" s="62">
        <v>3060802</v>
      </c>
      <c r="H38" s="62">
        <v>16191500</v>
      </c>
      <c r="I38" s="84">
        <v>10.25</v>
      </c>
      <c r="J38" s="84">
        <v>17.46</v>
      </c>
      <c r="K38" s="84">
        <v>1.67</v>
      </c>
      <c r="L38" s="61" t="str">
        <f t="shared" si="0"/>
        <v>BULLISH</v>
      </c>
    </row>
    <row r="39" spans="2:12" x14ac:dyDescent="0.25">
      <c r="B39" s="59">
        <v>44785.543792013887</v>
      </c>
      <c r="C39" s="60">
        <v>39027.25</v>
      </c>
      <c r="D39" s="62">
        <v>106721500</v>
      </c>
      <c r="E39" s="62">
        <v>124228000</v>
      </c>
      <c r="F39" s="62">
        <v>3743221</v>
      </c>
      <c r="G39" s="62">
        <v>3080821</v>
      </c>
      <c r="H39" s="62">
        <v>17506500</v>
      </c>
      <c r="I39" s="84">
        <v>10.25</v>
      </c>
      <c r="J39" s="84">
        <v>17.46</v>
      </c>
      <c r="K39" s="84">
        <v>1.68</v>
      </c>
      <c r="L39" s="61" t="str">
        <f t="shared" si="0"/>
        <v>BULLISH</v>
      </c>
    </row>
    <row r="40" spans="2:12" x14ac:dyDescent="0.25">
      <c r="B40" s="59"/>
      <c r="C40" s="60"/>
      <c r="D40" s="62"/>
      <c r="E40" s="62"/>
      <c r="F40" s="62"/>
      <c r="G40" s="62"/>
      <c r="H40" s="62"/>
      <c r="I40" s="84"/>
      <c r="J40" s="84"/>
      <c r="K40" s="84"/>
      <c r="L40" s="61" t="str">
        <f t="shared" si="0"/>
        <v>NOT CONCLUSIVE</v>
      </c>
    </row>
    <row r="41" spans="2:12" x14ac:dyDescent="0.25">
      <c r="B41" s="59"/>
      <c r="C41" s="60"/>
      <c r="D41" s="62"/>
      <c r="E41" s="62"/>
      <c r="F41" s="62"/>
      <c r="G41" s="62"/>
      <c r="H41" s="62"/>
      <c r="I41" s="84"/>
      <c r="J41" s="84"/>
      <c r="K41" s="84"/>
      <c r="L41" s="61" t="str">
        <f t="shared" si="0"/>
        <v>NOT CONCLUSIVE</v>
      </c>
    </row>
    <row r="42" spans="2:12" x14ac:dyDescent="0.25">
      <c r="B42" s="59"/>
      <c r="C42" s="60"/>
      <c r="D42" s="62"/>
      <c r="E42" s="62"/>
      <c r="F42" s="62"/>
      <c r="G42" s="62"/>
      <c r="H42" s="62"/>
      <c r="I42" s="84"/>
      <c r="J42" s="84"/>
      <c r="K42" s="84"/>
      <c r="L42" s="61" t="str">
        <f t="shared" si="0"/>
        <v>NOT CONCLUSIVE</v>
      </c>
    </row>
    <row r="43" spans="2:12" x14ac:dyDescent="0.25">
      <c r="B43" s="59"/>
      <c r="C43" s="60"/>
      <c r="D43" s="62"/>
      <c r="E43" s="62"/>
      <c r="F43" s="62"/>
      <c r="G43" s="62"/>
      <c r="H43" s="62"/>
      <c r="I43" s="84"/>
      <c r="J43" s="84"/>
      <c r="K43" s="84"/>
      <c r="L43" s="61" t="str">
        <f t="shared" si="0"/>
        <v>NOT CONCLUSIVE</v>
      </c>
    </row>
    <row r="44" spans="2:12" x14ac:dyDescent="0.25">
      <c r="B44" s="59"/>
      <c r="C44" s="60"/>
      <c r="D44" s="62"/>
      <c r="E44" s="62"/>
      <c r="F44" s="62"/>
      <c r="G44" s="62"/>
      <c r="H44" s="62"/>
      <c r="I44" s="84"/>
      <c r="J44" s="84"/>
      <c r="K44" s="84"/>
      <c r="L44" s="61" t="str">
        <f t="shared" si="0"/>
        <v>NOT CONCLUSIVE</v>
      </c>
    </row>
    <row r="45" spans="2:12" x14ac:dyDescent="0.25">
      <c r="B45" s="59"/>
      <c r="C45" s="60"/>
      <c r="D45" s="62"/>
      <c r="E45" s="62"/>
      <c r="F45" s="62"/>
      <c r="G45" s="62"/>
      <c r="H45" s="62"/>
      <c r="I45" s="84"/>
      <c r="J45" s="84"/>
      <c r="K45" s="84"/>
      <c r="L45" s="61" t="str">
        <f t="shared" si="0"/>
        <v>NOT CONCLUSIVE</v>
      </c>
    </row>
    <row r="46" spans="2:12" x14ac:dyDescent="0.25">
      <c r="B46" s="59"/>
      <c r="C46" s="60"/>
      <c r="D46" s="62"/>
      <c r="E46" s="62"/>
      <c r="F46" s="62"/>
      <c r="G46" s="62"/>
      <c r="H46" s="62"/>
      <c r="I46" s="84"/>
      <c r="J46" s="84"/>
      <c r="K46" s="84"/>
      <c r="L46" s="61" t="str">
        <f t="shared" si="0"/>
        <v>NOT CONCLUSIVE</v>
      </c>
    </row>
    <row r="47" spans="2:12" x14ac:dyDescent="0.25">
      <c r="B47" s="59"/>
      <c r="C47" s="60"/>
      <c r="D47" s="62"/>
      <c r="E47" s="62"/>
      <c r="F47" s="62"/>
      <c r="G47" s="62"/>
      <c r="H47" s="62"/>
      <c r="I47" s="84"/>
      <c r="J47" s="84"/>
      <c r="K47" s="84"/>
      <c r="L47" s="61" t="str">
        <f t="shared" si="0"/>
        <v>NOT CONCLUSIVE</v>
      </c>
    </row>
    <row r="48" spans="2:12" x14ac:dyDescent="0.25">
      <c r="B48" s="59"/>
      <c r="C48" s="60"/>
      <c r="D48" s="62"/>
      <c r="E48" s="62"/>
      <c r="F48" s="62"/>
      <c r="G48" s="62"/>
      <c r="H48" s="62"/>
      <c r="I48" s="84"/>
      <c r="J48" s="84"/>
      <c r="K48" s="84"/>
      <c r="L48" s="61" t="str">
        <f t="shared" si="0"/>
        <v>NOT CONCLUSIVE</v>
      </c>
    </row>
    <row r="49" spans="2:12" x14ac:dyDescent="0.25">
      <c r="B49" s="59"/>
      <c r="C49" s="60"/>
      <c r="D49" s="62"/>
      <c r="E49" s="62"/>
      <c r="F49" s="62"/>
      <c r="G49" s="62"/>
      <c r="H49" s="62"/>
      <c r="I49" s="84"/>
      <c r="J49" s="84"/>
      <c r="K49" s="84"/>
      <c r="L49" s="61" t="str">
        <f t="shared" si="0"/>
        <v>NOT CONCLUSIVE</v>
      </c>
    </row>
    <row r="50" spans="2:12" x14ac:dyDescent="0.25">
      <c r="B50" s="59"/>
      <c r="C50" s="60"/>
      <c r="D50" s="62"/>
      <c r="E50" s="62"/>
      <c r="F50" s="62"/>
      <c r="G50" s="62"/>
      <c r="H50" s="62"/>
      <c r="I50" s="84"/>
      <c r="J50" s="84"/>
      <c r="K50" s="84"/>
      <c r="L50" s="61" t="str">
        <f t="shared" si="0"/>
        <v>NOT CONCLUSIVE</v>
      </c>
    </row>
    <row r="51" spans="2:12" x14ac:dyDescent="0.25">
      <c r="B51" s="59"/>
      <c r="C51" s="60"/>
      <c r="D51" s="62"/>
      <c r="E51" s="62"/>
      <c r="F51" s="62"/>
      <c r="G51" s="62"/>
      <c r="H51" s="62"/>
      <c r="I51" s="84"/>
      <c r="J51" s="84"/>
      <c r="K51" s="84"/>
      <c r="L51" s="61" t="str">
        <f t="shared" si="0"/>
        <v>NOT CONCLUSIVE</v>
      </c>
    </row>
    <row r="52" spans="2:12" x14ac:dyDescent="0.25">
      <c r="B52" s="59"/>
      <c r="C52" s="60"/>
      <c r="D52" s="62"/>
      <c r="E52" s="62"/>
      <c r="F52" s="62"/>
      <c r="G52" s="62"/>
      <c r="H52" s="62"/>
      <c r="I52" s="84"/>
      <c r="J52" s="84"/>
      <c r="K52" s="84"/>
      <c r="L52" s="61" t="str">
        <f t="shared" si="0"/>
        <v>NOT CONCLUSIVE</v>
      </c>
    </row>
    <row r="53" spans="2:12" x14ac:dyDescent="0.25">
      <c r="B53" s="59"/>
      <c r="C53" s="60"/>
      <c r="D53" s="62"/>
      <c r="E53" s="62"/>
      <c r="F53" s="62"/>
      <c r="G53" s="62"/>
      <c r="H53" s="62"/>
      <c r="I53" s="84"/>
      <c r="J53" s="84"/>
      <c r="K53" s="84"/>
      <c r="L53" s="61" t="str">
        <f t="shared" si="0"/>
        <v>NOT CONCLUSIVE</v>
      </c>
    </row>
    <row r="54" spans="2:12" x14ac:dyDescent="0.25">
      <c r="B54" s="59"/>
      <c r="C54" s="60"/>
      <c r="D54" s="62"/>
      <c r="E54" s="62"/>
      <c r="F54" s="62"/>
      <c r="G54" s="62"/>
      <c r="H54" s="62"/>
      <c r="I54" s="84"/>
      <c r="J54" s="84"/>
      <c r="K54" s="84"/>
      <c r="L54" s="61" t="str">
        <f t="shared" si="0"/>
        <v>NOT CONCLUSIVE</v>
      </c>
    </row>
    <row r="55" spans="2:12" x14ac:dyDescent="0.25">
      <c r="B55" s="59"/>
      <c r="C55" s="60"/>
      <c r="D55" s="62"/>
      <c r="E55" s="62"/>
      <c r="F55" s="62"/>
      <c r="G55" s="62"/>
      <c r="H55" s="62"/>
      <c r="I55" s="84"/>
      <c r="J55" s="84"/>
      <c r="K55" s="84"/>
      <c r="L55" s="61" t="str">
        <f t="shared" si="0"/>
        <v>NOT CONCLUSIVE</v>
      </c>
    </row>
    <row r="56" spans="2:12" x14ac:dyDescent="0.25">
      <c r="B56" s="59"/>
      <c r="C56" s="60"/>
      <c r="D56" s="62"/>
      <c r="E56" s="62"/>
      <c r="F56" s="62"/>
      <c r="G56" s="62"/>
      <c r="H56" s="62"/>
      <c r="I56" s="84"/>
      <c r="J56" s="84"/>
      <c r="K56" s="84"/>
      <c r="L56" s="61" t="str">
        <f t="shared" si="0"/>
        <v>NOT CONCLUSIVE</v>
      </c>
    </row>
    <row r="57" spans="2:12" x14ac:dyDescent="0.25">
      <c r="B57" s="59"/>
      <c r="C57" s="60"/>
      <c r="D57" s="62"/>
      <c r="E57" s="62"/>
      <c r="F57" s="62"/>
      <c r="G57" s="62"/>
      <c r="H57" s="62"/>
      <c r="I57" s="84"/>
      <c r="J57" s="84"/>
      <c r="K57" s="84"/>
      <c r="L57" s="61" t="str">
        <f t="shared" si="0"/>
        <v>NOT CONCLUSIVE</v>
      </c>
    </row>
    <row r="58" spans="2:12" x14ac:dyDescent="0.25">
      <c r="B58" s="59"/>
      <c r="C58" s="60"/>
      <c r="D58" s="62"/>
      <c r="E58" s="62"/>
      <c r="F58" s="62"/>
      <c r="G58" s="62"/>
      <c r="H58" s="62"/>
      <c r="I58" s="84"/>
      <c r="J58" s="84"/>
      <c r="K58" s="84"/>
      <c r="L58" s="61" t="str">
        <f t="shared" si="0"/>
        <v>NOT CONCLUSIVE</v>
      </c>
    </row>
    <row r="59" spans="2:12" x14ac:dyDescent="0.25">
      <c r="B59" s="59"/>
      <c r="C59" s="60"/>
      <c r="D59" s="62"/>
      <c r="E59" s="62"/>
      <c r="F59" s="62"/>
      <c r="G59" s="62"/>
      <c r="H59" s="62"/>
      <c r="I59" s="84"/>
      <c r="J59" s="84"/>
      <c r="K59" s="84"/>
      <c r="L59" s="61" t="str">
        <f t="shared" si="0"/>
        <v>NOT CONCLUSIVE</v>
      </c>
    </row>
    <row r="60" spans="2:12" x14ac:dyDescent="0.25">
      <c r="B60" s="59"/>
      <c r="C60" s="60"/>
      <c r="D60" s="62"/>
      <c r="E60" s="62"/>
      <c r="F60" s="62"/>
      <c r="G60" s="62"/>
      <c r="H60" s="62"/>
      <c r="I60" s="84"/>
      <c r="J60" s="84"/>
      <c r="K60" s="84"/>
      <c r="L60" s="61" t="str">
        <f t="shared" si="0"/>
        <v>NOT CONCLUSIVE</v>
      </c>
    </row>
    <row r="61" spans="2:12" x14ac:dyDescent="0.25">
      <c r="B61" s="59"/>
      <c r="C61" s="60"/>
      <c r="D61" s="62"/>
      <c r="E61" s="62"/>
      <c r="F61" s="62"/>
      <c r="G61" s="62"/>
      <c r="H61" s="62"/>
      <c r="I61" s="84"/>
      <c r="J61" s="84"/>
      <c r="K61" s="84"/>
      <c r="L61" s="61" t="str">
        <f t="shared" si="0"/>
        <v>NOT CONCLUSIVE</v>
      </c>
    </row>
    <row r="62" spans="2:12" x14ac:dyDescent="0.25">
      <c r="B62" s="59"/>
      <c r="C62" s="60"/>
      <c r="D62" s="62"/>
      <c r="E62" s="62"/>
      <c r="F62" s="62"/>
      <c r="G62" s="62"/>
      <c r="H62" s="62"/>
      <c r="I62" s="84"/>
      <c r="J62" s="84"/>
      <c r="K62" s="84"/>
      <c r="L62" s="61" t="str">
        <f t="shared" si="0"/>
        <v>NOT CONCLUSIVE</v>
      </c>
    </row>
    <row r="63" spans="2:12" x14ac:dyDescent="0.25">
      <c r="B63" s="59"/>
      <c r="C63" s="60"/>
      <c r="D63" s="62"/>
      <c r="E63" s="62"/>
      <c r="F63" s="62"/>
      <c r="G63" s="62"/>
      <c r="H63" s="62"/>
      <c r="I63" s="84"/>
      <c r="J63" s="84"/>
      <c r="K63" s="84"/>
      <c r="L63" s="61" t="str">
        <f t="shared" si="0"/>
        <v>NOT CONCLUSIVE</v>
      </c>
    </row>
    <row r="64" spans="2:12" x14ac:dyDescent="0.25">
      <c r="B64" s="59"/>
      <c r="C64" s="60"/>
      <c r="D64" s="62"/>
      <c r="E64" s="62"/>
      <c r="F64" s="62"/>
      <c r="G64" s="62"/>
      <c r="H64" s="62"/>
      <c r="I64" s="84"/>
      <c r="J64" s="84"/>
      <c r="K64" s="84"/>
      <c r="L64" s="61" t="str">
        <f t="shared" si="0"/>
        <v>NOT CONCLUSIVE</v>
      </c>
    </row>
    <row r="65" spans="2:12" x14ac:dyDescent="0.25">
      <c r="B65" s="59"/>
      <c r="C65" s="60"/>
      <c r="D65" s="62"/>
      <c r="E65" s="62"/>
      <c r="F65" s="62"/>
      <c r="G65" s="62"/>
      <c r="H65" s="62"/>
      <c r="I65" s="84"/>
      <c r="J65" s="84"/>
      <c r="K65" s="84"/>
      <c r="L65" s="61" t="str">
        <f t="shared" si="0"/>
        <v>NOT CONCLUSIVE</v>
      </c>
    </row>
    <row r="66" spans="2:12" x14ac:dyDescent="0.25">
      <c r="B66" s="59"/>
      <c r="C66" s="60"/>
      <c r="D66" s="62"/>
      <c r="E66" s="62"/>
      <c r="F66" s="62"/>
      <c r="G66" s="62"/>
      <c r="H66" s="62"/>
      <c r="I66" s="84"/>
      <c r="J66" s="84"/>
      <c r="K66" s="84"/>
      <c r="L66" s="61" t="str">
        <f t="shared" si="0"/>
        <v>NOT CONCLUSIVE</v>
      </c>
    </row>
    <row r="67" spans="2:12" x14ac:dyDescent="0.25">
      <c r="B67" s="59"/>
      <c r="C67" s="60"/>
      <c r="D67" s="62"/>
      <c r="E67" s="62"/>
      <c r="F67" s="62"/>
      <c r="G67" s="62"/>
      <c r="H67" s="62"/>
      <c r="I67" s="84"/>
      <c r="J67" s="84"/>
      <c r="K67" s="84"/>
      <c r="L67" s="61" t="str">
        <f t="shared" si="0"/>
        <v>NOT CONCLUSIVE</v>
      </c>
    </row>
    <row r="68" spans="2:12" x14ac:dyDescent="0.25">
      <c r="B68" s="59"/>
      <c r="C68" s="60"/>
      <c r="D68" s="62"/>
      <c r="E68" s="62"/>
      <c r="F68" s="62"/>
      <c r="G68" s="62"/>
      <c r="H68" s="62"/>
      <c r="I68" s="84"/>
      <c r="J68" s="84"/>
      <c r="K68" s="84"/>
      <c r="L68" s="61" t="str">
        <f t="shared" si="0"/>
        <v>NOT CONCLUSIVE</v>
      </c>
    </row>
    <row r="69" spans="2:12" x14ac:dyDescent="0.25">
      <c r="B69" s="59"/>
      <c r="C69" s="60"/>
      <c r="D69" s="62"/>
      <c r="E69" s="62"/>
      <c r="F69" s="62"/>
      <c r="G69" s="62"/>
      <c r="H69" s="62"/>
      <c r="I69" s="84"/>
      <c r="J69" s="84"/>
      <c r="K69" s="84"/>
      <c r="L69" s="61" t="str">
        <f t="shared" ref="L69:L195" si="1">IF(D69&gt;E69,"BEARISH",IF(D69&lt;E69,"BULLISH","NOT CONCLUSIVE"))</f>
        <v>NOT CONCLUSIVE</v>
      </c>
    </row>
    <row r="70" spans="2:12" x14ac:dyDescent="0.25">
      <c r="B70" s="59"/>
      <c r="C70" s="60"/>
      <c r="D70" s="62"/>
      <c r="E70" s="62"/>
      <c r="F70" s="62"/>
      <c r="G70" s="62"/>
      <c r="H70" s="62"/>
      <c r="I70" s="84"/>
      <c r="J70" s="84"/>
      <c r="K70" s="84"/>
      <c r="L70" s="61" t="str">
        <f t="shared" si="1"/>
        <v>NOT CONCLUSIVE</v>
      </c>
    </row>
    <row r="71" spans="2:12" x14ac:dyDescent="0.25">
      <c r="B71" s="59"/>
      <c r="C71" s="60"/>
      <c r="D71" s="62"/>
      <c r="E71" s="62"/>
      <c r="F71" s="62"/>
      <c r="G71" s="62"/>
      <c r="H71" s="62"/>
      <c r="I71" s="84"/>
      <c r="J71" s="84"/>
      <c r="K71" s="84"/>
      <c r="L71" s="61" t="str">
        <f t="shared" si="1"/>
        <v>NOT CONCLUSIVE</v>
      </c>
    </row>
    <row r="72" spans="2:12" x14ac:dyDescent="0.25">
      <c r="B72" s="59"/>
      <c r="C72" s="60"/>
      <c r="D72" s="62"/>
      <c r="E72" s="62"/>
      <c r="F72" s="62"/>
      <c r="G72" s="62"/>
      <c r="H72" s="62"/>
      <c r="I72" s="84"/>
      <c r="J72" s="84"/>
      <c r="K72" s="84"/>
      <c r="L72" s="61" t="str">
        <f t="shared" si="1"/>
        <v>NOT CONCLUSIVE</v>
      </c>
    </row>
    <row r="73" spans="2:12" x14ac:dyDescent="0.25">
      <c r="B73" s="59"/>
      <c r="C73" s="60"/>
      <c r="D73" s="62"/>
      <c r="E73" s="62"/>
      <c r="F73" s="62"/>
      <c r="G73" s="62"/>
      <c r="H73" s="62"/>
      <c r="I73" s="84"/>
      <c r="J73" s="84"/>
      <c r="K73" s="84"/>
      <c r="L73" s="61" t="str">
        <f t="shared" si="1"/>
        <v>NOT CONCLUSIVE</v>
      </c>
    </row>
    <row r="74" spans="2:12" x14ac:dyDescent="0.25">
      <c r="B74" s="59"/>
      <c r="C74" s="60"/>
      <c r="D74" s="62"/>
      <c r="E74" s="62"/>
      <c r="F74" s="62"/>
      <c r="G74" s="62"/>
      <c r="H74" s="62"/>
      <c r="I74" s="84"/>
      <c r="J74" s="84"/>
      <c r="K74" s="84"/>
      <c r="L74" s="61" t="str">
        <f t="shared" si="1"/>
        <v>NOT CONCLUSIVE</v>
      </c>
    </row>
    <row r="75" spans="2:12" x14ac:dyDescent="0.25">
      <c r="B75" s="59"/>
      <c r="C75" s="60"/>
      <c r="D75" s="62"/>
      <c r="E75" s="62"/>
      <c r="F75" s="62"/>
      <c r="G75" s="62"/>
      <c r="H75" s="62"/>
      <c r="I75" s="84"/>
      <c r="J75" s="84"/>
      <c r="K75" s="84"/>
      <c r="L75" s="61" t="str">
        <f t="shared" si="1"/>
        <v>NOT CONCLUSIVE</v>
      </c>
    </row>
    <row r="76" spans="2:12" x14ac:dyDescent="0.25">
      <c r="B76" s="59"/>
      <c r="C76" s="60"/>
      <c r="D76" s="62"/>
      <c r="E76" s="62"/>
      <c r="F76" s="62"/>
      <c r="G76" s="62"/>
      <c r="H76" s="62"/>
      <c r="I76" s="84"/>
      <c r="J76" s="84"/>
      <c r="K76" s="84"/>
      <c r="L76" s="61" t="str">
        <f t="shared" si="1"/>
        <v>NOT CONCLUSIVE</v>
      </c>
    </row>
    <row r="77" spans="2:12" x14ac:dyDescent="0.25">
      <c r="B77" s="59"/>
      <c r="C77" s="60"/>
      <c r="D77" s="62"/>
      <c r="E77" s="62"/>
      <c r="F77" s="62"/>
      <c r="G77" s="62"/>
      <c r="H77" s="62"/>
      <c r="I77" s="84"/>
      <c r="J77" s="84"/>
      <c r="K77" s="84"/>
      <c r="L77" s="61" t="str">
        <f t="shared" si="1"/>
        <v>NOT CONCLUSIVE</v>
      </c>
    </row>
    <row r="78" spans="2:12" x14ac:dyDescent="0.25">
      <c r="B78" s="59"/>
      <c r="C78" s="60"/>
      <c r="D78" s="62"/>
      <c r="E78" s="62"/>
      <c r="F78" s="62"/>
      <c r="G78" s="62"/>
      <c r="H78" s="62"/>
      <c r="I78" s="84"/>
      <c r="J78" s="84"/>
      <c r="K78" s="84"/>
      <c r="L78" s="61" t="str">
        <f t="shared" si="1"/>
        <v>NOT CONCLUSIVE</v>
      </c>
    </row>
    <row r="79" spans="2:12" x14ac:dyDescent="0.25">
      <c r="B79" s="59"/>
      <c r="C79" s="60"/>
      <c r="D79" s="62"/>
      <c r="E79" s="62"/>
      <c r="F79" s="62"/>
      <c r="G79" s="62"/>
      <c r="H79" s="62"/>
      <c r="I79" s="84"/>
      <c r="J79" s="84"/>
      <c r="K79" s="84"/>
      <c r="L79" s="61" t="str">
        <f t="shared" si="1"/>
        <v>NOT CONCLUSIVE</v>
      </c>
    </row>
    <row r="80" spans="2:12" x14ac:dyDescent="0.25">
      <c r="B80" s="59"/>
      <c r="C80" s="60"/>
      <c r="D80" s="62"/>
      <c r="E80" s="62"/>
      <c r="F80" s="62"/>
      <c r="G80" s="62"/>
      <c r="H80" s="62"/>
      <c r="I80" s="84"/>
      <c r="J80" s="84"/>
      <c r="K80" s="84"/>
      <c r="L80" s="61" t="str">
        <f t="shared" si="1"/>
        <v>NOT CONCLUSIVE</v>
      </c>
    </row>
    <row r="81" spans="2:12" x14ac:dyDescent="0.25">
      <c r="B81" s="59"/>
      <c r="C81" s="60"/>
      <c r="D81" s="62"/>
      <c r="E81" s="62"/>
      <c r="F81" s="62"/>
      <c r="G81" s="62"/>
      <c r="H81" s="62"/>
      <c r="I81" s="84"/>
      <c r="J81" s="84"/>
      <c r="K81" s="84"/>
      <c r="L81" s="61" t="str">
        <f t="shared" si="1"/>
        <v>NOT CONCLUSIVE</v>
      </c>
    </row>
    <row r="82" spans="2:12" x14ac:dyDescent="0.25">
      <c r="B82" s="59"/>
      <c r="C82" s="60"/>
      <c r="D82" s="62"/>
      <c r="E82" s="62"/>
      <c r="F82" s="62"/>
      <c r="G82" s="62"/>
      <c r="H82" s="62"/>
      <c r="I82" s="84"/>
      <c r="J82" s="84"/>
      <c r="K82" s="84"/>
      <c r="L82" s="61" t="str">
        <f t="shared" si="1"/>
        <v>NOT CONCLUSIVE</v>
      </c>
    </row>
    <row r="83" spans="2:12" x14ac:dyDescent="0.25">
      <c r="B83" s="59"/>
      <c r="C83" s="60"/>
      <c r="D83" s="62"/>
      <c r="E83" s="62"/>
      <c r="F83" s="62"/>
      <c r="G83" s="62"/>
      <c r="H83" s="62"/>
      <c r="I83" s="84"/>
      <c r="J83" s="84"/>
      <c r="K83" s="84"/>
      <c r="L83" s="61" t="str">
        <f t="shared" si="1"/>
        <v>NOT CONCLUSIVE</v>
      </c>
    </row>
    <row r="84" spans="2:12" x14ac:dyDescent="0.25">
      <c r="B84" s="59"/>
      <c r="C84" s="60"/>
      <c r="D84" s="62"/>
      <c r="E84" s="62"/>
      <c r="F84" s="62"/>
      <c r="G84" s="62"/>
      <c r="H84" s="62"/>
      <c r="I84" s="84"/>
      <c r="J84" s="84"/>
      <c r="K84" s="84"/>
      <c r="L84" s="61" t="str">
        <f t="shared" si="1"/>
        <v>NOT CONCLUSIVE</v>
      </c>
    </row>
    <row r="85" spans="2:12" x14ac:dyDescent="0.25">
      <c r="B85" s="59"/>
      <c r="C85" s="60"/>
      <c r="D85" s="62"/>
      <c r="E85" s="62"/>
      <c r="F85" s="62"/>
      <c r="G85" s="62"/>
      <c r="H85" s="62"/>
      <c r="I85" s="84"/>
      <c r="J85" s="84"/>
      <c r="K85" s="84"/>
      <c r="L85" s="61" t="str">
        <f t="shared" si="1"/>
        <v>NOT CONCLUSIVE</v>
      </c>
    </row>
    <row r="86" spans="2:12" x14ac:dyDescent="0.25">
      <c r="B86" s="59"/>
      <c r="C86" s="60"/>
      <c r="D86" s="62"/>
      <c r="E86" s="62"/>
      <c r="F86" s="62"/>
      <c r="G86" s="62"/>
      <c r="H86" s="62"/>
      <c r="I86" s="84"/>
      <c r="J86" s="84"/>
      <c r="K86" s="84"/>
      <c r="L86" s="61" t="str">
        <f t="shared" si="1"/>
        <v>NOT CONCLUSIVE</v>
      </c>
    </row>
    <row r="87" spans="2:12" x14ac:dyDescent="0.25">
      <c r="B87" s="59"/>
      <c r="C87" s="60"/>
      <c r="D87" s="62"/>
      <c r="E87" s="62"/>
      <c r="F87" s="62"/>
      <c r="G87" s="62"/>
      <c r="H87" s="62"/>
      <c r="I87" s="84"/>
      <c r="J87" s="84"/>
      <c r="K87" s="84"/>
      <c r="L87" s="61" t="str">
        <f t="shared" si="1"/>
        <v>NOT CONCLUSIVE</v>
      </c>
    </row>
    <row r="88" spans="2:12" x14ac:dyDescent="0.25">
      <c r="B88" s="59"/>
      <c r="C88" s="60"/>
      <c r="D88" s="62"/>
      <c r="E88" s="62"/>
      <c r="F88" s="62"/>
      <c r="G88" s="62"/>
      <c r="H88" s="62"/>
      <c r="I88" s="84"/>
      <c r="J88" s="84"/>
      <c r="K88" s="84"/>
      <c r="L88" s="61" t="str">
        <f t="shared" si="1"/>
        <v>NOT CONCLUSIVE</v>
      </c>
    </row>
    <row r="89" spans="2:12" x14ac:dyDescent="0.25">
      <c r="B89" s="59"/>
      <c r="C89" s="60"/>
      <c r="D89" s="62"/>
      <c r="E89" s="62"/>
      <c r="F89" s="62"/>
      <c r="G89" s="62"/>
      <c r="H89" s="62"/>
      <c r="I89" s="84"/>
      <c r="J89" s="84"/>
      <c r="K89" s="84"/>
      <c r="L89" s="61" t="str">
        <f t="shared" si="1"/>
        <v>NOT CONCLUSIVE</v>
      </c>
    </row>
    <row r="90" spans="2:12" x14ac:dyDescent="0.25">
      <c r="B90" s="59"/>
      <c r="C90" s="60"/>
      <c r="D90" s="62"/>
      <c r="E90" s="62"/>
      <c r="F90" s="62"/>
      <c r="G90" s="62"/>
      <c r="H90" s="62"/>
      <c r="I90" s="84"/>
      <c r="J90" s="84"/>
      <c r="K90" s="84"/>
      <c r="L90" s="61" t="str">
        <f t="shared" si="1"/>
        <v>NOT CONCLUSIVE</v>
      </c>
    </row>
    <row r="91" spans="2:12" x14ac:dyDescent="0.25">
      <c r="B91" s="59"/>
      <c r="C91" s="60"/>
      <c r="D91" s="62"/>
      <c r="E91" s="62"/>
      <c r="F91" s="62"/>
      <c r="G91" s="62"/>
      <c r="H91" s="62"/>
      <c r="I91" s="84"/>
      <c r="J91" s="84"/>
      <c r="K91" s="84"/>
      <c r="L91" s="61" t="str">
        <f t="shared" si="1"/>
        <v>NOT CONCLUSIVE</v>
      </c>
    </row>
    <row r="92" spans="2:12" x14ac:dyDescent="0.25">
      <c r="B92" s="59"/>
      <c r="C92" s="60"/>
      <c r="D92" s="62"/>
      <c r="E92" s="62"/>
      <c r="F92" s="62"/>
      <c r="G92" s="62"/>
      <c r="H92" s="62"/>
      <c r="I92" s="84"/>
      <c r="J92" s="84"/>
      <c r="K92" s="84"/>
      <c r="L92" s="61" t="str">
        <f t="shared" si="1"/>
        <v>NOT CONCLUSIVE</v>
      </c>
    </row>
    <row r="93" spans="2:12" x14ac:dyDescent="0.25">
      <c r="B93" s="59"/>
      <c r="C93" s="60"/>
      <c r="D93" s="62"/>
      <c r="E93" s="62"/>
      <c r="F93" s="62"/>
      <c r="G93" s="62"/>
      <c r="H93" s="62"/>
      <c r="I93" s="84"/>
      <c r="J93" s="84"/>
      <c r="K93" s="84"/>
      <c r="L93" s="61" t="str">
        <f t="shared" si="1"/>
        <v>NOT CONCLUSIVE</v>
      </c>
    </row>
    <row r="94" spans="2:12" x14ac:dyDescent="0.25">
      <c r="B94" s="59"/>
      <c r="C94" s="60"/>
      <c r="D94" s="62"/>
      <c r="E94" s="62"/>
      <c r="F94" s="62"/>
      <c r="G94" s="62"/>
      <c r="H94" s="62"/>
      <c r="I94" s="84"/>
      <c r="J94" s="84"/>
      <c r="K94" s="84"/>
      <c r="L94" s="61" t="str">
        <f t="shared" si="1"/>
        <v>NOT CONCLUSIVE</v>
      </c>
    </row>
    <row r="95" spans="2:12" x14ac:dyDescent="0.25">
      <c r="B95" s="59"/>
      <c r="C95" s="60"/>
      <c r="D95" s="62"/>
      <c r="E95" s="62"/>
      <c r="F95" s="62"/>
      <c r="G95" s="62"/>
      <c r="H95" s="62"/>
      <c r="I95" s="84"/>
      <c r="J95" s="84"/>
      <c r="K95" s="84"/>
      <c r="L95" s="61" t="str">
        <f t="shared" si="1"/>
        <v>NOT CONCLUSIVE</v>
      </c>
    </row>
    <row r="96" spans="2:12" x14ac:dyDescent="0.25">
      <c r="B96" s="59"/>
      <c r="C96" s="60"/>
      <c r="D96" s="62"/>
      <c r="E96" s="62"/>
      <c r="F96" s="62"/>
      <c r="G96" s="62"/>
      <c r="H96" s="62"/>
      <c r="I96" s="84"/>
      <c r="J96" s="84"/>
      <c r="K96" s="84"/>
      <c r="L96" s="61" t="str">
        <f t="shared" si="1"/>
        <v>NOT CONCLUSIVE</v>
      </c>
    </row>
    <row r="97" spans="2:12" x14ac:dyDescent="0.25">
      <c r="B97" s="59"/>
      <c r="C97" s="60"/>
      <c r="D97" s="62"/>
      <c r="E97" s="62"/>
      <c r="F97" s="62"/>
      <c r="G97" s="62"/>
      <c r="H97" s="62"/>
      <c r="I97" s="84"/>
      <c r="J97" s="84"/>
      <c r="K97" s="84"/>
      <c r="L97" s="61" t="str">
        <f t="shared" si="1"/>
        <v>NOT CONCLUSIVE</v>
      </c>
    </row>
    <row r="98" spans="2:12" x14ac:dyDescent="0.25">
      <c r="B98" s="59"/>
      <c r="C98" s="60"/>
      <c r="D98" s="62"/>
      <c r="E98" s="62"/>
      <c r="F98" s="62"/>
      <c r="G98" s="62"/>
      <c r="H98" s="62"/>
      <c r="I98" s="84"/>
      <c r="J98" s="84"/>
      <c r="K98" s="84"/>
      <c r="L98" s="61" t="str">
        <f t="shared" si="1"/>
        <v>NOT CONCLUSIVE</v>
      </c>
    </row>
    <row r="99" spans="2:12" x14ac:dyDescent="0.25">
      <c r="B99" s="59"/>
      <c r="C99" s="60"/>
      <c r="D99" s="62"/>
      <c r="E99" s="62"/>
      <c r="F99" s="62"/>
      <c r="G99" s="62"/>
      <c r="H99" s="62"/>
      <c r="I99" s="84"/>
      <c r="J99" s="84"/>
      <c r="K99" s="84"/>
      <c r="L99" s="61" t="str">
        <f t="shared" si="1"/>
        <v>NOT CONCLUSIVE</v>
      </c>
    </row>
    <row r="100" spans="2:12" x14ac:dyDescent="0.25">
      <c r="B100" s="59"/>
      <c r="C100" s="60"/>
      <c r="D100" s="62"/>
      <c r="E100" s="62"/>
      <c r="F100" s="62"/>
      <c r="G100" s="62"/>
      <c r="H100" s="62"/>
      <c r="I100" s="84"/>
      <c r="J100" s="84"/>
      <c r="K100" s="84"/>
      <c r="L100" s="61" t="str">
        <f t="shared" si="1"/>
        <v>NOT CONCLUSIVE</v>
      </c>
    </row>
    <row r="101" spans="2:12" x14ac:dyDescent="0.25">
      <c r="B101" s="59">
        <v>44783.549858449071</v>
      </c>
      <c r="C101" s="60">
        <v>38345.199999999997</v>
      </c>
      <c r="D101" s="62">
        <v>96675000</v>
      </c>
      <c r="E101" s="62">
        <v>114729000</v>
      </c>
      <c r="F101" s="62">
        <v>5787241</v>
      </c>
      <c r="G101" s="62">
        <v>5236188</v>
      </c>
      <c r="H101" s="62">
        <v>18054000</v>
      </c>
      <c r="I101" s="84">
        <v>26.74</v>
      </c>
      <c r="J101" s="84">
        <v>28.66</v>
      </c>
      <c r="K101" s="84">
        <v>1.0900000000000001</v>
      </c>
      <c r="L101" s="61" t="str">
        <f t="shared" si="1"/>
        <v>BULLISH</v>
      </c>
    </row>
    <row r="102" spans="2:12" x14ac:dyDescent="0.25">
      <c r="B102" s="59">
        <v>44783.549860648149</v>
      </c>
      <c r="C102" s="60">
        <v>38345.199999999997</v>
      </c>
      <c r="D102" s="62">
        <v>96675000</v>
      </c>
      <c r="E102" s="62">
        <v>114729000</v>
      </c>
      <c r="F102" s="62">
        <v>5787241</v>
      </c>
      <c r="G102" s="62">
        <v>5236188</v>
      </c>
      <c r="H102" s="62">
        <v>18054000</v>
      </c>
      <c r="I102" s="84">
        <v>26.74</v>
      </c>
      <c r="J102" s="84">
        <v>28.66</v>
      </c>
      <c r="K102" s="84">
        <v>1.0900000000000001</v>
      </c>
      <c r="L102" s="61" t="str">
        <f t="shared" si="1"/>
        <v>BULLISH</v>
      </c>
    </row>
    <row r="103" spans="2:12" x14ac:dyDescent="0.25">
      <c r="B103" s="59">
        <v>44783.549862615742</v>
      </c>
      <c r="C103" s="60">
        <v>38345.199999999997</v>
      </c>
      <c r="D103" s="62">
        <v>96675000</v>
      </c>
      <c r="E103" s="62">
        <v>114729000</v>
      </c>
      <c r="F103" s="62">
        <v>5787241</v>
      </c>
      <c r="G103" s="62">
        <v>5236188</v>
      </c>
      <c r="H103" s="62">
        <v>18054000</v>
      </c>
      <c r="I103" s="84">
        <v>26.74</v>
      </c>
      <c r="J103" s="84">
        <v>28.66</v>
      </c>
      <c r="K103" s="84">
        <v>1.0900000000000001</v>
      </c>
      <c r="L103" s="61" t="str">
        <f t="shared" si="1"/>
        <v>BULLISH</v>
      </c>
    </row>
    <row r="104" spans="2:12" x14ac:dyDescent="0.25">
      <c r="B104" s="59">
        <v>44783.54986446759</v>
      </c>
      <c r="C104" s="60">
        <v>38345.199999999997</v>
      </c>
      <c r="D104" s="62">
        <v>96675000</v>
      </c>
      <c r="E104" s="62">
        <v>114729000</v>
      </c>
      <c r="F104" s="62">
        <v>5787241</v>
      </c>
      <c r="G104" s="62">
        <v>5236188</v>
      </c>
      <c r="H104" s="62">
        <v>18054000</v>
      </c>
      <c r="I104" s="84">
        <v>26.74</v>
      </c>
      <c r="J104" s="84">
        <v>28.66</v>
      </c>
      <c r="K104" s="84">
        <v>1.0900000000000001</v>
      </c>
      <c r="L104" s="61" t="str">
        <f t="shared" si="1"/>
        <v>BULLISH</v>
      </c>
    </row>
    <row r="105" spans="2:12" x14ac:dyDescent="0.25">
      <c r="B105" s="59">
        <v>44783.549930555557</v>
      </c>
      <c r="C105" s="60">
        <v>38345.199999999997</v>
      </c>
      <c r="D105" s="62">
        <v>96675000</v>
      </c>
      <c r="E105" s="62">
        <v>114729000</v>
      </c>
      <c r="F105" s="62">
        <v>5787241</v>
      </c>
      <c r="G105" s="62">
        <v>5236188</v>
      </c>
      <c r="H105" s="62">
        <v>18054000</v>
      </c>
      <c r="I105" s="84">
        <v>26.74</v>
      </c>
      <c r="J105" s="84">
        <v>28.66</v>
      </c>
      <c r="K105" s="84">
        <v>1.0900000000000001</v>
      </c>
      <c r="L105" s="61" t="str">
        <f t="shared" si="1"/>
        <v>BULLISH</v>
      </c>
    </row>
    <row r="106" spans="2:12" x14ac:dyDescent="0.25">
      <c r="B106" s="59">
        <v>44783.556805787041</v>
      </c>
      <c r="C106" s="60">
        <v>38315.15</v>
      </c>
      <c r="D106" s="62">
        <v>95695500</v>
      </c>
      <c r="E106" s="62">
        <v>111021500</v>
      </c>
      <c r="F106" s="62">
        <v>6079300</v>
      </c>
      <c r="G106" s="62">
        <v>5513361</v>
      </c>
      <c r="H106" s="62">
        <v>15326000</v>
      </c>
      <c r="I106" s="84">
        <v>26.55</v>
      </c>
      <c r="J106" s="84">
        <v>28.24</v>
      </c>
      <c r="K106" s="84">
        <v>1.05</v>
      </c>
      <c r="L106" s="61" t="str">
        <f t="shared" si="1"/>
        <v>BULLISH</v>
      </c>
    </row>
    <row r="107" spans="2:12" x14ac:dyDescent="0.25">
      <c r="B107" s="59">
        <v>44783.556813773146</v>
      </c>
      <c r="C107" s="60">
        <v>38315.15</v>
      </c>
      <c r="D107" s="62">
        <v>95695500</v>
      </c>
      <c r="E107" s="62">
        <v>111021500</v>
      </c>
      <c r="F107" s="62">
        <v>6079300</v>
      </c>
      <c r="G107" s="62">
        <v>5513361</v>
      </c>
      <c r="H107" s="62">
        <v>15326000</v>
      </c>
      <c r="I107" s="84">
        <v>26.55</v>
      </c>
      <c r="J107" s="84">
        <v>28.24</v>
      </c>
      <c r="K107" s="84">
        <v>1.05</v>
      </c>
      <c r="L107" s="61" t="str">
        <f t="shared" si="1"/>
        <v>BULLISH</v>
      </c>
    </row>
    <row r="108" spans="2:12" x14ac:dyDescent="0.25">
      <c r="B108" s="59">
        <v>44783.556818518518</v>
      </c>
      <c r="C108" s="60">
        <v>38315.15</v>
      </c>
      <c r="D108" s="62">
        <v>95695500</v>
      </c>
      <c r="E108" s="62">
        <v>111021500</v>
      </c>
      <c r="F108" s="62">
        <v>6079300</v>
      </c>
      <c r="G108" s="62">
        <v>5513361</v>
      </c>
      <c r="H108" s="62">
        <v>15326000</v>
      </c>
      <c r="I108" s="84">
        <v>26.55</v>
      </c>
      <c r="J108" s="84">
        <v>28.24</v>
      </c>
      <c r="K108" s="84">
        <v>1.05</v>
      </c>
      <c r="L108" s="61" t="str">
        <f t="shared" si="1"/>
        <v>BULLISH</v>
      </c>
    </row>
    <row r="109" spans="2:12" x14ac:dyDescent="0.25">
      <c r="B109" s="59">
        <v>44783.55682233796</v>
      </c>
      <c r="C109" s="60">
        <v>38315.15</v>
      </c>
      <c r="D109" s="62">
        <v>95695500</v>
      </c>
      <c r="E109" s="62">
        <v>111021500</v>
      </c>
      <c r="F109" s="62">
        <v>6079300</v>
      </c>
      <c r="G109" s="62">
        <v>5513361</v>
      </c>
      <c r="H109" s="62">
        <v>15326000</v>
      </c>
      <c r="I109" s="84">
        <v>26.55</v>
      </c>
      <c r="J109" s="84">
        <v>28.24</v>
      </c>
      <c r="K109" s="84">
        <v>1.05</v>
      </c>
      <c r="L109" s="61" t="str">
        <f t="shared" si="1"/>
        <v>BULLISH</v>
      </c>
    </row>
    <row r="110" spans="2:12" x14ac:dyDescent="0.25">
      <c r="B110" s="59">
        <v>44783.556825694446</v>
      </c>
      <c r="C110" s="60">
        <v>38315.15</v>
      </c>
      <c r="D110" s="62">
        <v>95695500</v>
      </c>
      <c r="E110" s="62">
        <v>111021500</v>
      </c>
      <c r="F110" s="62">
        <v>6079300</v>
      </c>
      <c r="G110" s="62">
        <v>5513361</v>
      </c>
      <c r="H110" s="62">
        <v>15326000</v>
      </c>
      <c r="I110" s="84">
        <v>26.55</v>
      </c>
      <c r="J110" s="84">
        <v>28.24</v>
      </c>
      <c r="K110" s="84">
        <v>1.05</v>
      </c>
      <c r="L110" s="61" t="str">
        <f t="shared" si="1"/>
        <v>BULLISH</v>
      </c>
    </row>
    <row r="111" spans="2:12" x14ac:dyDescent="0.25">
      <c r="B111" s="59">
        <v>44783.556829629626</v>
      </c>
      <c r="C111" s="60">
        <v>38315.15</v>
      </c>
      <c r="D111" s="62">
        <v>95695500</v>
      </c>
      <c r="E111" s="62">
        <v>111021500</v>
      </c>
      <c r="F111" s="62">
        <v>6079300</v>
      </c>
      <c r="G111" s="62">
        <v>5513361</v>
      </c>
      <c r="H111" s="62">
        <v>15326000</v>
      </c>
      <c r="I111" s="84">
        <v>26.55</v>
      </c>
      <c r="J111" s="84">
        <v>28.24</v>
      </c>
      <c r="K111" s="84">
        <v>1.05</v>
      </c>
      <c r="L111" s="61" t="str">
        <f t="shared" si="1"/>
        <v>BULLISH</v>
      </c>
    </row>
    <row r="112" spans="2:12" x14ac:dyDescent="0.25">
      <c r="B112" s="59">
        <v>44783.556832870374</v>
      </c>
      <c r="C112" s="60">
        <v>38315.15</v>
      </c>
      <c r="D112" s="62">
        <v>95695500</v>
      </c>
      <c r="E112" s="62">
        <v>111021500</v>
      </c>
      <c r="F112" s="62">
        <v>6079300</v>
      </c>
      <c r="G112" s="62">
        <v>5513361</v>
      </c>
      <c r="H112" s="62">
        <v>15326000</v>
      </c>
      <c r="I112" s="84">
        <v>26.55</v>
      </c>
      <c r="J112" s="84">
        <v>28.24</v>
      </c>
      <c r="K112" s="84">
        <v>1.05</v>
      </c>
      <c r="L112" s="61" t="str">
        <f t="shared" si="1"/>
        <v>BULLISH</v>
      </c>
    </row>
    <row r="113" spans="2:12" x14ac:dyDescent="0.25">
      <c r="B113" s="59">
        <v>44783.556837384262</v>
      </c>
      <c r="C113" s="60">
        <v>38315.15</v>
      </c>
      <c r="D113" s="62">
        <v>95695500</v>
      </c>
      <c r="E113" s="62">
        <v>111021500</v>
      </c>
      <c r="F113" s="62">
        <v>6079300</v>
      </c>
      <c r="G113" s="62">
        <v>5513361</v>
      </c>
      <c r="H113" s="62">
        <v>15326000</v>
      </c>
      <c r="I113" s="84">
        <v>26.55</v>
      </c>
      <c r="J113" s="84">
        <v>28.24</v>
      </c>
      <c r="K113" s="84">
        <v>1.05</v>
      </c>
      <c r="L113" s="61" t="str">
        <f t="shared" si="1"/>
        <v>BULLISH</v>
      </c>
    </row>
    <row r="114" spans="2:12" x14ac:dyDescent="0.25">
      <c r="B114" s="59">
        <v>44783.556883564816</v>
      </c>
      <c r="C114" s="60">
        <v>38315.15</v>
      </c>
      <c r="D114" s="62">
        <v>95695500</v>
      </c>
      <c r="E114" s="62">
        <v>111021500</v>
      </c>
      <c r="F114" s="62">
        <v>6079300</v>
      </c>
      <c r="G114" s="62">
        <v>5513361</v>
      </c>
      <c r="H114" s="62">
        <v>15326000</v>
      </c>
      <c r="I114" s="84">
        <v>26.55</v>
      </c>
      <c r="J114" s="84">
        <v>28.24</v>
      </c>
      <c r="K114" s="84">
        <v>1.05</v>
      </c>
      <c r="L114" s="61" t="str">
        <f t="shared" si="1"/>
        <v>BULLISH</v>
      </c>
    </row>
    <row r="115" spans="2:12" x14ac:dyDescent="0.25">
      <c r="B115" s="59">
        <v>44783.563757754629</v>
      </c>
      <c r="C115" s="60">
        <v>38255.300000000003</v>
      </c>
      <c r="D115" s="62">
        <v>93868500</v>
      </c>
      <c r="E115" s="62">
        <v>105725500</v>
      </c>
      <c r="F115" s="62">
        <v>6367537</v>
      </c>
      <c r="G115" s="62">
        <v>5834277</v>
      </c>
      <c r="H115" s="62">
        <v>11857000</v>
      </c>
      <c r="I115" s="84">
        <v>26.46</v>
      </c>
      <c r="J115" s="84">
        <v>28.26</v>
      </c>
      <c r="K115" s="84">
        <v>1.02</v>
      </c>
      <c r="L115" s="61" t="str">
        <f t="shared" si="1"/>
        <v>BULLISH</v>
      </c>
    </row>
    <row r="116" spans="2:12" x14ac:dyDescent="0.25">
      <c r="B116" s="59">
        <v>44783.563760879631</v>
      </c>
      <c r="C116" s="60">
        <v>38255.300000000003</v>
      </c>
      <c r="D116" s="62">
        <v>93868500</v>
      </c>
      <c r="E116" s="62">
        <v>105725500</v>
      </c>
      <c r="F116" s="62">
        <v>6367537</v>
      </c>
      <c r="G116" s="62">
        <v>5834277</v>
      </c>
      <c r="H116" s="62">
        <v>11857000</v>
      </c>
      <c r="I116" s="84">
        <v>26.46</v>
      </c>
      <c r="J116" s="84">
        <v>28.26</v>
      </c>
      <c r="K116" s="84">
        <v>1.02</v>
      </c>
      <c r="L116" s="61" t="str">
        <f t="shared" si="1"/>
        <v>BULLISH</v>
      </c>
    </row>
    <row r="117" spans="2:12" x14ac:dyDescent="0.25">
      <c r="B117" s="59">
        <v>44783.563762731479</v>
      </c>
      <c r="C117" s="60">
        <v>38255.300000000003</v>
      </c>
      <c r="D117" s="62">
        <v>93868500</v>
      </c>
      <c r="E117" s="62">
        <v>105725500</v>
      </c>
      <c r="F117" s="62">
        <v>6367537</v>
      </c>
      <c r="G117" s="62">
        <v>5834277</v>
      </c>
      <c r="H117" s="62">
        <v>11857000</v>
      </c>
      <c r="I117" s="84">
        <v>26.46</v>
      </c>
      <c r="J117" s="84">
        <v>28.26</v>
      </c>
      <c r="K117" s="84">
        <v>1.02</v>
      </c>
      <c r="L117" s="61" t="str">
        <f t="shared" si="1"/>
        <v>BULLISH</v>
      </c>
    </row>
    <row r="118" spans="2:12" x14ac:dyDescent="0.25">
      <c r="B118" s="59">
        <v>44783.563764814811</v>
      </c>
      <c r="C118" s="60">
        <v>38255.300000000003</v>
      </c>
      <c r="D118" s="62">
        <v>93868500</v>
      </c>
      <c r="E118" s="62">
        <v>105725500</v>
      </c>
      <c r="F118" s="62">
        <v>6367537</v>
      </c>
      <c r="G118" s="62">
        <v>5834277</v>
      </c>
      <c r="H118" s="62">
        <v>11857000</v>
      </c>
      <c r="I118" s="84">
        <v>26.46</v>
      </c>
      <c r="J118" s="84">
        <v>28.26</v>
      </c>
      <c r="K118" s="84">
        <v>1.02</v>
      </c>
      <c r="L118" s="61" t="str">
        <f t="shared" si="1"/>
        <v>BULLISH</v>
      </c>
    </row>
    <row r="119" spans="2:12" x14ac:dyDescent="0.25">
      <c r="B119" s="59">
        <v>44783.563767824075</v>
      </c>
      <c r="C119" s="60">
        <v>38255.300000000003</v>
      </c>
      <c r="D119" s="62">
        <v>93868500</v>
      </c>
      <c r="E119" s="62">
        <v>105725500</v>
      </c>
      <c r="F119" s="62">
        <v>6367537</v>
      </c>
      <c r="G119" s="62">
        <v>5834277</v>
      </c>
      <c r="H119" s="62">
        <v>11857000</v>
      </c>
      <c r="I119" s="84">
        <v>26.46</v>
      </c>
      <c r="J119" s="84">
        <v>28.26</v>
      </c>
      <c r="K119" s="84">
        <v>1.02</v>
      </c>
      <c r="L119" s="61" t="str">
        <f t="shared" si="1"/>
        <v>BULLISH</v>
      </c>
    </row>
    <row r="120" spans="2:12" x14ac:dyDescent="0.25">
      <c r="B120" s="59">
        <v>44783.563789930558</v>
      </c>
      <c r="C120" s="60">
        <v>38255.300000000003</v>
      </c>
      <c r="D120" s="62">
        <v>93868500</v>
      </c>
      <c r="E120" s="62">
        <v>105725500</v>
      </c>
      <c r="F120" s="62">
        <v>6367537</v>
      </c>
      <c r="G120" s="62">
        <v>5834277</v>
      </c>
      <c r="H120" s="62">
        <v>11857000</v>
      </c>
      <c r="I120" s="84">
        <v>26.46</v>
      </c>
      <c r="J120" s="84">
        <v>28.26</v>
      </c>
      <c r="K120" s="84">
        <v>1.02</v>
      </c>
      <c r="L120" s="61" t="str">
        <f t="shared" si="1"/>
        <v>BULLISH</v>
      </c>
    </row>
    <row r="121" spans="2:12" x14ac:dyDescent="0.25">
      <c r="B121" s="59">
        <v>44783.563796527778</v>
      </c>
      <c r="C121" s="60">
        <v>38255.300000000003</v>
      </c>
      <c r="D121" s="62">
        <v>93868500</v>
      </c>
      <c r="E121" s="62">
        <v>105725500</v>
      </c>
      <c r="F121" s="62">
        <v>6367537</v>
      </c>
      <c r="G121" s="62">
        <v>5834277</v>
      </c>
      <c r="H121" s="62">
        <v>11857000</v>
      </c>
      <c r="I121" s="84">
        <v>26.46</v>
      </c>
      <c r="J121" s="84">
        <v>28.26</v>
      </c>
      <c r="K121" s="84">
        <v>1.02</v>
      </c>
      <c r="L121" s="61" t="str">
        <f t="shared" si="1"/>
        <v>BULLISH</v>
      </c>
    </row>
    <row r="122" spans="2:12" x14ac:dyDescent="0.25">
      <c r="B122" s="59">
        <v>44783.563799537034</v>
      </c>
      <c r="C122" s="60">
        <v>38255.300000000003</v>
      </c>
      <c r="D122" s="62">
        <v>93868500</v>
      </c>
      <c r="E122" s="62">
        <v>105725500</v>
      </c>
      <c r="F122" s="62">
        <v>6367537</v>
      </c>
      <c r="G122" s="62">
        <v>5834277</v>
      </c>
      <c r="H122" s="62">
        <v>11857000</v>
      </c>
      <c r="I122" s="84">
        <v>26.46</v>
      </c>
      <c r="J122" s="84">
        <v>28.26</v>
      </c>
      <c r="K122" s="84">
        <v>1.02</v>
      </c>
      <c r="L122" s="61" t="str">
        <f t="shared" si="1"/>
        <v>BULLISH</v>
      </c>
    </row>
    <row r="123" spans="2:12" x14ac:dyDescent="0.25">
      <c r="B123" s="59">
        <v>44783.563828356484</v>
      </c>
      <c r="C123" s="60">
        <v>38255.300000000003</v>
      </c>
      <c r="D123" s="62">
        <v>93868500</v>
      </c>
      <c r="E123" s="62">
        <v>105725500</v>
      </c>
      <c r="F123" s="62">
        <v>6367537</v>
      </c>
      <c r="G123" s="62">
        <v>5834277</v>
      </c>
      <c r="H123" s="62">
        <v>11857000</v>
      </c>
      <c r="I123" s="84">
        <v>26.46</v>
      </c>
      <c r="J123" s="84">
        <v>28.26</v>
      </c>
      <c r="K123" s="84">
        <v>1.02</v>
      </c>
      <c r="L123" s="61" t="str">
        <f t="shared" si="1"/>
        <v>BULLISH</v>
      </c>
    </row>
    <row r="124" spans="2:12" x14ac:dyDescent="0.25">
      <c r="B124" s="59">
        <v>44783.570705902777</v>
      </c>
      <c r="C124" s="60">
        <v>38247.65</v>
      </c>
      <c r="D124" s="62">
        <v>99550000</v>
      </c>
      <c r="E124" s="62">
        <v>101430000</v>
      </c>
      <c r="F124" s="62">
        <v>6545435</v>
      </c>
      <c r="G124" s="62">
        <v>6303635</v>
      </c>
      <c r="H124" s="62">
        <v>1880000</v>
      </c>
      <c r="I124" s="84">
        <v>27.4</v>
      </c>
      <c r="J124" s="84">
        <v>31.3</v>
      </c>
      <c r="K124" s="84">
        <v>5.5</v>
      </c>
      <c r="L124" s="61" t="str">
        <f t="shared" si="1"/>
        <v>BULLISH</v>
      </c>
    </row>
    <row r="125" spans="2:12" x14ac:dyDescent="0.25">
      <c r="B125" s="59">
        <v>44783.57070960648</v>
      </c>
      <c r="C125" s="60">
        <v>38247.65</v>
      </c>
      <c r="D125" s="62">
        <v>99550000</v>
      </c>
      <c r="E125" s="62">
        <v>101430000</v>
      </c>
      <c r="F125" s="62">
        <v>6545435</v>
      </c>
      <c r="G125" s="62">
        <v>6303635</v>
      </c>
      <c r="H125" s="62">
        <v>1880000</v>
      </c>
      <c r="I125" s="84">
        <v>27.4</v>
      </c>
      <c r="J125" s="84">
        <v>31.3</v>
      </c>
      <c r="K125" s="84">
        <v>5.5</v>
      </c>
      <c r="L125" s="61" t="str">
        <f t="shared" si="1"/>
        <v>BULLISH</v>
      </c>
    </row>
    <row r="126" spans="2:12" x14ac:dyDescent="0.25">
      <c r="B126" s="59">
        <v>44783.570711921297</v>
      </c>
      <c r="C126" s="60">
        <v>38247.65</v>
      </c>
      <c r="D126" s="62">
        <v>99550000</v>
      </c>
      <c r="E126" s="62">
        <v>101430000</v>
      </c>
      <c r="F126" s="62">
        <v>6545435</v>
      </c>
      <c r="G126" s="62">
        <v>6303635</v>
      </c>
      <c r="H126" s="62">
        <v>1880000</v>
      </c>
      <c r="I126" s="84">
        <v>27.4</v>
      </c>
      <c r="J126" s="84">
        <v>31.3</v>
      </c>
      <c r="K126" s="84">
        <v>5.5</v>
      </c>
      <c r="L126" s="61" t="str">
        <f t="shared" si="1"/>
        <v>BULLISH</v>
      </c>
    </row>
    <row r="127" spans="2:12" x14ac:dyDescent="0.25">
      <c r="B127" s="59">
        <v>44783.57071388889</v>
      </c>
      <c r="C127" s="60">
        <v>38247.65</v>
      </c>
      <c r="D127" s="62">
        <v>99550000</v>
      </c>
      <c r="E127" s="62">
        <v>101430000</v>
      </c>
      <c r="F127" s="62">
        <v>6545435</v>
      </c>
      <c r="G127" s="62">
        <v>6303635</v>
      </c>
      <c r="H127" s="62">
        <v>1880000</v>
      </c>
      <c r="I127" s="84">
        <v>27.4</v>
      </c>
      <c r="J127" s="84">
        <v>31.3</v>
      </c>
      <c r="K127" s="84">
        <v>5.5</v>
      </c>
      <c r="L127" s="61" t="str">
        <f t="shared" si="1"/>
        <v>BULLISH</v>
      </c>
    </row>
    <row r="128" spans="2:12" x14ac:dyDescent="0.25">
      <c r="B128" s="59">
        <v>44783.570716087961</v>
      </c>
      <c r="C128" s="60">
        <v>38247.65</v>
      </c>
      <c r="D128" s="62">
        <v>99550000</v>
      </c>
      <c r="E128" s="62">
        <v>101430000</v>
      </c>
      <c r="F128" s="62">
        <v>6545435</v>
      </c>
      <c r="G128" s="62">
        <v>6303635</v>
      </c>
      <c r="H128" s="62">
        <v>1880000</v>
      </c>
      <c r="I128" s="84">
        <v>27.4</v>
      </c>
      <c r="J128" s="84">
        <v>31.3</v>
      </c>
      <c r="K128" s="84">
        <v>5.5</v>
      </c>
      <c r="L128" s="61" t="str">
        <f t="shared" si="1"/>
        <v>BULLISH</v>
      </c>
    </row>
    <row r="129" spans="2:12" x14ac:dyDescent="0.25">
      <c r="B129" s="59">
        <v>44783.57073078704</v>
      </c>
      <c r="C129" s="60">
        <v>38247.65</v>
      </c>
      <c r="D129" s="62">
        <v>99550000</v>
      </c>
      <c r="E129" s="62">
        <v>101430000</v>
      </c>
      <c r="F129" s="62">
        <v>6545435</v>
      </c>
      <c r="G129" s="62">
        <v>6303635</v>
      </c>
      <c r="H129" s="62">
        <v>1880000</v>
      </c>
      <c r="I129" s="84">
        <v>27.4</v>
      </c>
      <c r="J129" s="84">
        <v>31.3</v>
      </c>
      <c r="K129" s="84">
        <v>5.5</v>
      </c>
      <c r="L129" s="61" t="str">
        <f t="shared" si="1"/>
        <v>BULLISH</v>
      </c>
    </row>
    <row r="130" spans="2:12" x14ac:dyDescent="0.25">
      <c r="B130" s="59">
        <v>44783.570749074075</v>
      </c>
      <c r="C130" s="60">
        <v>38247.65</v>
      </c>
      <c r="D130" s="62">
        <v>99550000</v>
      </c>
      <c r="E130" s="62">
        <v>101430000</v>
      </c>
      <c r="F130" s="62">
        <v>6545435</v>
      </c>
      <c r="G130" s="62">
        <v>6303635</v>
      </c>
      <c r="H130" s="62">
        <v>1880000</v>
      </c>
      <c r="I130" s="84">
        <v>27.4</v>
      </c>
      <c r="J130" s="84">
        <v>31.3</v>
      </c>
      <c r="K130" s="84">
        <v>5.5</v>
      </c>
      <c r="L130" s="61" t="str">
        <f t="shared" si="1"/>
        <v>BULLISH</v>
      </c>
    </row>
    <row r="131" spans="2:12" x14ac:dyDescent="0.25">
      <c r="B131" s="59">
        <v>44783.570751273146</v>
      </c>
      <c r="C131" s="60">
        <v>38247.65</v>
      </c>
      <c r="D131" s="62">
        <v>99550000</v>
      </c>
      <c r="E131" s="62">
        <v>101430000</v>
      </c>
      <c r="F131" s="62">
        <v>6545435</v>
      </c>
      <c r="G131" s="62">
        <v>6303635</v>
      </c>
      <c r="H131" s="62">
        <v>1880000</v>
      </c>
      <c r="I131" s="84">
        <v>27.4</v>
      </c>
      <c r="J131" s="84">
        <v>31.3</v>
      </c>
      <c r="K131" s="84">
        <v>5.5</v>
      </c>
      <c r="L131" s="61" t="str">
        <f t="shared" si="1"/>
        <v>BULLISH</v>
      </c>
    </row>
    <row r="132" spans="2:12" x14ac:dyDescent="0.25">
      <c r="B132" s="59">
        <v>44783.570767824072</v>
      </c>
      <c r="C132" s="60">
        <v>38247.65</v>
      </c>
      <c r="D132" s="62">
        <v>99550000</v>
      </c>
      <c r="E132" s="62">
        <v>101430000</v>
      </c>
      <c r="F132" s="62">
        <v>6545435</v>
      </c>
      <c r="G132" s="62">
        <v>6303635</v>
      </c>
      <c r="H132" s="62">
        <v>1880000</v>
      </c>
      <c r="I132" s="84">
        <v>27.4</v>
      </c>
      <c r="J132" s="84">
        <v>31.3</v>
      </c>
      <c r="K132" s="84">
        <v>5.5</v>
      </c>
      <c r="L132" s="61" t="str">
        <f t="shared" si="1"/>
        <v>BULLISH</v>
      </c>
    </row>
    <row r="133" spans="2:12" x14ac:dyDescent="0.25">
      <c r="B133" s="59">
        <v>44783.574365856482</v>
      </c>
      <c r="C133" s="60">
        <v>38231.449999999997</v>
      </c>
      <c r="D133" s="62">
        <v>99085000</v>
      </c>
      <c r="E133" s="62">
        <v>101413500</v>
      </c>
      <c r="F133" s="62">
        <v>6604534</v>
      </c>
      <c r="G133" s="62">
        <v>6341253</v>
      </c>
      <c r="H133" s="62">
        <v>2328500</v>
      </c>
      <c r="I133" s="84">
        <v>20.47</v>
      </c>
      <c r="J133" s="84">
        <v>31.02</v>
      </c>
      <c r="K133" s="84">
        <v>5.47</v>
      </c>
      <c r="L133" s="61" t="str">
        <f t="shared" si="1"/>
        <v>BULLISH</v>
      </c>
    </row>
    <row r="134" spans="2:12" x14ac:dyDescent="0.25">
      <c r="B134" s="59">
        <v>44783.577659490744</v>
      </c>
      <c r="C134" s="60">
        <v>38258.65</v>
      </c>
      <c r="D134" s="62">
        <v>99699500</v>
      </c>
      <c r="E134" s="62">
        <v>100468500</v>
      </c>
      <c r="F134" s="62">
        <v>6807410</v>
      </c>
      <c r="G134" s="62">
        <v>6216920</v>
      </c>
      <c r="H134" s="62">
        <v>769000</v>
      </c>
      <c r="I134" s="84">
        <v>26.64</v>
      </c>
      <c r="J134" s="84">
        <v>28.96</v>
      </c>
      <c r="K134" s="84">
        <v>0.97</v>
      </c>
      <c r="L134" s="61" t="str">
        <f t="shared" si="1"/>
        <v>BULLISH</v>
      </c>
    </row>
    <row r="135" spans="2:12" x14ac:dyDescent="0.25">
      <c r="B135" s="59">
        <v>44783.577662384261</v>
      </c>
      <c r="C135" s="60">
        <v>38258.65</v>
      </c>
      <c r="D135" s="62">
        <v>99699500</v>
      </c>
      <c r="E135" s="62">
        <v>100468500</v>
      </c>
      <c r="F135" s="62">
        <v>6807410</v>
      </c>
      <c r="G135" s="62">
        <v>6216920</v>
      </c>
      <c r="H135" s="62">
        <v>769000</v>
      </c>
      <c r="I135" s="84">
        <v>26.64</v>
      </c>
      <c r="J135" s="84">
        <v>28.96</v>
      </c>
      <c r="K135" s="84">
        <v>0.97</v>
      </c>
      <c r="L135" s="61" t="str">
        <f t="shared" si="1"/>
        <v>BULLISH</v>
      </c>
    </row>
    <row r="136" spans="2:12" x14ac:dyDescent="0.25">
      <c r="B136" s="59">
        <v>44783.577664583332</v>
      </c>
      <c r="C136" s="60">
        <v>38258.65</v>
      </c>
      <c r="D136" s="62">
        <v>99699500</v>
      </c>
      <c r="E136" s="62">
        <v>100468500</v>
      </c>
      <c r="F136" s="62">
        <v>6807410</v>
      </c>
      <c r="G136" s="62">
        <v>6216920</v>
      </c>
      <c r="H136" s="62">
        <v>769000</v>
      </c>
      <c r="I136" s="84">
        <v>26.64</v>
      </c>
      <c r="J136" s="84">
        <v>28.96</v>
      </c>
      <c r="K136" s="84">
        <v>0.97</v>
      </c>
      <c r="L136" s="61" t="str">
        <f t="shared" si="1"/>
        <v>BULLISH</v>
      </c>
    </row>
    <row r="137" spans="2:12" x14ac:dyDescent="0.25">
      <c r="B137" s="59">
        <v>44783.577666898149</v>
      </c>
      <c r="C137" s="60">
        <v>38258.65</v>
      </c>
      <c r="D137" s="62">
        <v>99699500</v>
      </c>
      <c r="E137" s="62">
        <v>100468500</v>
      </c>
      <c r="F137" s="62">
        <v>6807410</v>
      </c>
      <c r="G137" s="62">
        <v>6216920</v>
      </c>
      <c r="H137" s="62">
        <v>769000</v>
      </c>
      <c r="I137" s="84">
        <v>26.64</v>
      </c>
      <c r="J137" s="84">
        <v>28.96</v>
      </c>
      <c r="K137" s="84">
        <v>0.97</v>
      </c>
      <c r="L137" s="61" t="str">
        <f t="shared" si="1"/>
        <v>BULLISH</v>
      </c>
    </row>
    <row r="138" spans="2:12" x14ac:dyDescent="0.25">
      <c r="B138" s="59">
        <v>44783.577669444443</v>
      </c>
      <c r="C138" s="60">
        <v>38258.65</v>
      </c>
      <c r="D138" s="62">
        <v>99699500</v>
      </c>
      <c r="E138" s="62">
        <v>100468500</v>
      </c>
      <c r="F138" s="62">
        <v>6807410</v>
      </c>
      <c r="G138" s="62">
        <v>6216920</v>
      </c>
      <c r="H138" s="62">
        <v>769000</v>
      </c>
      <c r="I138" s="84">
        <v>26.64</v>
      </c>
      <c r="J138" s="84">
        <v>28.96</v>
      </c>
      <c r="K138" s="84">
        <v>0.97</v>
      </c>
      <c r="L138" s="61" t="str">
        <f t="shared" si="1"/>
        <v>BULLISH</v>
      </c>
    </row>
    <row r="139" spans="2:12" x14ac:dyDescent="0.25">
      <c r="B139" s="59">
        <v>44783.577684027776</v>
      </c>
      <c r="C139" s="60">
        <v>38258.65</v>
      </c>
      <c r="D139" s="62">
        <v>99699500</v>
      </c>
      <c r="E139" s="62">
        <v>100468500</v>
      </c>
      <c r="F139" s="62">
        <v>6807410</v>
      </c>
      <c r="G139" s="62">
        <v>6216920</v>
      </c>
      <c r="H139" s="62">
        <v>769000</v>
      </c>
      <c r="I139" s="84">
        <v>26.64</v>
      </c>
      <c r="J139" s="84">
        <v>28.96</v>
      </c>
      <c r="K139" s="84">
        <v>0.97</v>
      </c>
      <c r="L139" s="61" t="str">
        <f t="shared" si="1"/>
        <v>BULLISH</v>
      </c>
    </row>
    <row r="140" spans="2:12" x14ac:dyDescent="0.25">
      <c r="B140" s="59">
        <v>44783.577685763892</v>
      </c>
      <c r="C140" s="60">
        <v>38258.65</v>
      </c>
      <c r="D140" s="62">
        <v>99699500</v>
      </c>
      <c r="E140" s="62">
        <v>100468500</v>
      </c>
      <c r="F140" s="62">
        <v>6807410</v>
      </c>
      <c r="G140" s="62">
        <v>6216920</v>
      </c>
      <c r="H140" s="62">
        <v>769000</v>
      </c>
      <c r="I140" s="84">
        <v>26.64</v>
      </c>
      <c r="J140" s="84">
        <v>28.96</v>
      </c>
      <c r="K140" s="84">
        <v>0.97</v>
      </c>
      <c r="L140" s="61" t="str">
        <f t="shared" si="1"/>
        <v>BULLISH</v>
      </c>
    </row>
    <row r="141" spans="2:12" x14ac:dyDescent="0.25">
      <c r="B141" s="59">
        <v>44783.577687847224</v>
      </c>
      <c r="C141" s="60">
        <v>38258.65</v>
      </c>
      <c r="D141" s="62">
        <v>99699500</v>
      </c>
      <c r="E141" s="62">
        <v>100468500</v>
      </c>
      <c r="F141" s="62">
        <v>6807410</v>
      </c>
      <c r="G141" s="62">
        <v>6216920</v>
      </c>
      <c r="H141" s="62">
        <v>769000</v>
      </c>
      <c r="I141" s="84">
        <v>26.64</v>
      </c>
      <c r="J141" s="84">
        <v>28.96</v>
      </c>
      <c r="K141" s="84">
        <v>0.97</v>
      </c>
      <c r="L141" s="61" t="str">
        <f t="shared" si="1"/>
        <v>BULLISH</v>
      </c>
    </row>
    <row r="142" spans="2:12" x14ac:dyDescent="0.25">
      <c r="B142" s="59">
        <v>44783.577709490739</v>
      </c>
      <c r="C142" s="60">
        <v>38258.65</v>
      </c>
      <c r="D142" s="62">
        <v>99699500</v>
      </c>
      <c r="E142" s="62">
        <v>100468500</v>
      </c>
      <c r="F142" s="62">
        <v>6807410</v>
      </c>
      <c r="G142" s="62">
        <v>6216920</v>
      </c>
      <c r="H142" s="62">
        <v>769000</v>
      </c>
      <c r="I142" s="84">
        <v>26.64</v>
      </c>
      <c r="J142" s="84">
        <v>28.96</v>
      </c>
      <c r="K142" s="84">
        <v>0.97</v>
      </c>
      <c r="L142" s="61" t="str">
        <f t="shared" si="1"/>
        <v>BULLISH</v>
      </c>
    </row>
    <row r="143" spans="2:12" x14ac:dyDescent="0.25">
      <c r="B143" s="59">
        <v>44783.581318171295</v>
      </c>
      <c r="C143" s="60">
        <v>38262.5</v>
      </c>
      <c r="D143" s="62">
        <v>100463000</v>
      </c>
      <c r="E143" s="62">
        <v>100048000</v>
      </c>
      <c r="F143" s="62">
        <v>6925831</v>
      </c>
      <c r="G143" s="62">
        <v>6326130</v>
      </c>
      <c r="H143" s="62">
        <v>-415000</v>
      </c>
      <c r="I143" s="84">
        <v>27.59</v>
      </c>
      <c r="J143" s="84">
        <v>26.33</v>
      </c>
      <c r="K143" s="84">
        <v>0.97</v>
      </c>
      <c r="L143" s="61" t="str">
        <f t="shared" si="1"/>
        <v>BEARISH</v>
      </c>
    </row>
    <row r="144" spans="2:12" x14ac:dyDescent="0.25">
      <c r="B144" s="59">
        <v>44783.584600694441</v>
      </c>
      <c r="C144" s="60">
        <v>38234.800000000003</v>
      </c>
      <c r="D144" s="62">
        <v>101352000</v>
      </c>
      <c r="E144" s="62">
        <v>99476000</v>
      </c>
      <c r="F144" s="62">
        <v>6933520</v>
      </c>
      <c r="G144" s="62">
        <v>6637250</v>
      </c>
      <c r="H144" s="62">
        <v>-1876000</v>
      </c>
      <c r="I144" s="84">
        <v>31.97</v>
      </c>
      <c r="J144" s="84">
        <v>29.8</v>
      </c>
      <c r="K144" s="84">
        <v>5.52</v>
      </c>
      <c r="L144" s="61" t="str">
        <f t="shared" si="1"/>
        <v>BEARISH</v>
      </c>
    </row>
    <row r="145" spans="2:12" x14ac:dyDescent="0.25">
      <c r="B145" s="59">
        <v>44783.584612037041</v>
      </c>
      <c r="C145" s="60">
        <v>38234.800000000003</v>
      </c>
      <c r="D145" s="62">
        <v>101352000</v>
      </c>
      <c r="E145" s="62">
        <v>99476000</v>
      </c>
      <c r="F145" s="62">
        <v>6933520</v>
      </c>
      <c r="G145" s="62">
        <v>6637250</v>
      </c>
      <c r="H145" s="62">
        <v>-1876000</v>
      </c>
      <c r="I145" s="84">
        <v>31.97</v>
      </c>
      <c r="J145" s="84">
        <v>29.8</v>
      </c>
      <c r="K145" s="84">
        <v>5.52</v>
      </c>
      <c r="L145" s="61" t="str">
        <f t="shared" si="1"/>
        <v>BEARISH</v>
      </c>
    </row>
    <row r="146" spans="2:12" x14ac:dyDescent="0.25">
      <c r="B146" s="59">
        <v>44783.584613078703</v>
      </c>
      <c r="C146" s="60">
        <v>38234.800000000003</v>
      </c>
      <c r="D146" s="62">
        <v>101352000</v>
      </c>
      <c r="E146" s="62">
        <v>99476000</v>
      </c>
      <c r="F146" s="62">
        <v>6933520</v>
      </c>
      <c r="G146" s="62">
        <v>6637250</v>
      </c>
      <c r="H146" s="62">
        <v>-1876000</v>
      </c>
      <c r="I146" s="84">
        <v>31.97</v>
      </c>
      <c r="J146" s="84">
        <v>29.8</v>
      </c>
      <c r="K146" s="84">
        <v>5.52</v>
      </c>
      <c r="L146" s="61" t="str">
        <f t="shared" si="1"/>
        <v>BEARISH</v>
      </c>
    </row>
    <row r="147" spans="2:12" x14ac:dyDescent="0.25">
      <c r="B147" s="59">
        <v>44783.58461435185</v>
      </c>
      <c r="C147" s="60">
        <v>38234.800000000003</v>
      </c>
      <c r="D147" s="62">
        <v>101352000</v>
      </c>
      <c r="E147" s="62">
        <v>99476000</v>
      </c>
      <c r="F147" s="62">
        <v>6933520</v>
      </c>
      <c r="G147" s="62">
        <v>6637250</v>
      </c>
      <c r="H147" s="62">
        <v>-1876000</v>
      </c>
      <c r="I147" s="84">
        <v>31.97</v>
      </c>
      <c r="J147" s="84">
        <v>29.8</v>
      </c>
      <c r="K147" s="84">
        <v>5.52</v>
      </c>
      <c r="L147" s="61" t="str">
        <f t="shared" si="1"/>
        <v>BEARISH</v>
      </c>
    </row>
    <row r="148" spans="2:12" x14ac:dyDescent="0.25">
      <c r="B148" s="59">
        <v>44783.584615740743</v>
      </c>
      <c r="C148" s="60">
        <v>38234.800000000003</v>
      </c>
      <c r="D148" s="62">
        <v>101352000</v>
      </c>
      <c r="E148" s="62">
        <v>99476000</v>
      </c>
      <c r="F148" s="62">
        <v>6933520</v>
      </c>
      <c r="G148" s="62">
        <v>6637250</v>
      </c>
      <c r="H148" s="62">
        <v>-1876000</v>
      </c>
      <c r="I148" s="84">
        <v>31.97</v>
      </c>
      <c r="J148" s="84">
        <v>29.8</v>
      </c>
      <c r="K148" s="84">
        <v>5.52</v>
      </c>
      <c r="L148" s="61" t="str">
        <f t="shared" si="1"/>
        <v>BEARISH</v>
      </c>
    </row>
    <row r="149" spans="2:12" x14ac:dyDescent="0.25">
      <c r="B149" s="59">
        <v>44783.584635185187</v>
      </c>
      <c r="C149" s="60">
        <v>38234.800000000003</v>
      </c>
      <c r="D149" s="62">
        <v>101352000</v>
      </c>
      <c r="E149" s="62">
        <v>99476000</v>
      </c>
      <c r="F149" s="62">
        <v>6933520</v>
      </c>
      <c r="G149" s="62">
        <v>6637250</v>
      </c>
      <c r="H149" s="62">
        <v>-1876000</v>
      </c>
      <c r="I149" s="84">
        <v>31.97</v>
      </c>
      <c r="J149" s="84">
        <v>29.8</v>
      </c>
      <c r="K149" s="84">
        <v>5.52</v>
      </c>
      <c r="L149" s="61" t="str">
        <f t="shared" si="1"/>
        <v>BEARISH</v>
      </c>
    </row>
    <row r="150" spans="2:12" x14ac:dyDescent="0.25">
      <c r="B150" s="59">
        <v>44783.584636342595</v>
      </c>
      <c r="C150" s="60">
        <v>38234.800000000003</v>
      </c>
      <c r="D150" s="62">
        <v>101352000</v>
      </c>
      <c r="E150" s="62">
        <v>99476000</v>
      </c>
      <c r="F150" s="62">
        <v>6933520</v>
      </c>
      <c r="G150" s="62">
        <v>6637250</v>
      </c>
      <c r="H150" s="62">
        <v>-1876000</v>
      </c>
      <c r="I150" s="84">
        <v>31.97</v>
      </c>
      <c r="J150" s="84">
        <v>29.8</v>
      </c>
      <c r="K150" s="84">
        <v>5.52</v>
      </c>
      <c r="L150" s="61" t="str">
        <f t="shared" si="1"/>
        <v>BEARISH</v>
      </c>
    </row>
    <row r="151" spans="2:12" x14ac:dyDescent="0.25">
      <c r="B151" s="59">
        <v>44783.58463784722</v>
      </c>
      <c r="C151" s="60">
        <v>38234.800000000003</v>
      </c>
      <c r="D151" s="62">
        <v>101352000</v>
      </c>
      <c r="E151" s="62">
        <v>99476000</v>
      </c>
      <c r="F151" s="62">
        <v>6933520</v>
      </c>
      <c r="G151" s="62">
        <v>6637250</v>
      </c>
      <c r="H151" s="62">
        <v>-1876000</v>
      </c>
      <c r="I151" s="84">
        <v>31.97</v>
      </c>
      <c r="J151" s="84">
        <v>29.8</v>
      </c>
      <c r="K151" s="84">
        <v>5.52</v>
      </c>
      <c r="L151" s="61" t="str">
        <f t="shared" si="1"/>
        <v>BEARISH</v>
      </c>
    </row>
    <row r="152" spans="2:12" x14ac:dyDescent="0.25">
      <c r="B152" s="59">
        <v>44783.584658449072</v>
      </c>
      <c r="C152" s="60">
        <v>38234.800000000003</v>
      </c>
      <c r="D152" s="62">
        <v>101352000</v>
      </c>
      <c r="E152" s="62">
        <v>99476000</v>
      </c>
      <c r="F152" s="62">
        <v>6933520</v>
      </c>
      <c r="G152" s="62">
        <v>6637250</v>
      </c>
      <c r="H152" s="62">
        <v>-1876000</v>
      </c>
      <c r="I152" s="84">
        <v>31.97</v>
      </c>
      <c r="J152" s="84">
        <v>29.8</v>
      </c>
      <c r="K152" s="84">
        <v>5.52</v>
      </c>
      <c r="L152" s="61" t="str">
        <f t="shared" si="1"/>
        <v>BEARISH</v>
      </c>
    </row>
    <row r="153" spans="2:12" x14ac:dyDescent="0.25">
      <c r="B153" s="59">
        <v>44783.58825601852</v>
      </c>
      <c r="C153" s="60">
        <v>38260.699999999997</v>
      </c>
      <c r="D153" s="62">
        <v>103029500</v>
      </c>
      <c r="E153" s="62">
        <v>100519000</v>
      </c>
      <c r="F153" s="62">
        <v>7059477</v>
      </c>
      <c r="G153" s="62">
        <v>6464381</v>
      </c>
      <c r="H153" s="62">
        <v>-2510500</v>
      </c>
      <c r="I153" s="84">
        <v>26.26</v>
      </c>
      <c r="J153" s="84">
        <v>27.85</v>
      </c>
      <c r="K153" s="84">
        <v>0.94</v>
      </c>
      <c r="L153" s="61" t="str">
        <f t="shared" si="1"/>
        <v>BEARISH</v>
      </c>
    </row>
    <row r="154" spans="2:12" x14ac:dyDescent="0.25">
      <c r="B154" s="59">
        <v>44783.591550115743</v>
      </c>
      <c r="C154" s="60">
        <v>38276.65</v>
      </c>
      <c r="D154" s="62">
        <v>101970000</v>
      </c>
      <c r="E154" s="62">
        <v>98896500</v>
      </c>
      <c r="F154" s="62">
        <v>7181404</v>
      </c>
      <c r="G154" s="62">
        <v>6589524</v>
      </c>
      <c r="H154" s="62">
        <v>-3073500</v>
      </c>
      <c r="I154" s="84">
        <v>26.26</v>
      </c>
      <c r="J154" s="84">
        <v>27.85</v>
      </c>
      <c r="K154" s="84">
        <v>0.94</v>
      </c>
      <c r="L154" s="61" t="str">
        <f t="shared" si="1"/>
        <v>BEARISH</v>
      </c>
    </row>
    <row r="155" spans="2:12" x14ac:dyDescent="0.25">
      <c r="B155" s="59">
        <v>44783.591552662037</v>
      </c>
      <c r="C155" s="60">
        <v>38276.65</v>
      </c>
      <c r="D155" s="62">
        <v>101970000</v>
      </c>
      <c r="E155" s="62">
        <v>98896500</v>
      </c>
      <c r="F155" s="62">
        <v>7181404</v>
      </c>
      <c r="G155" s="62">
        <v>6589524</v>
      </c>
      <c r="H155" s="62">
        <v>-3073500</v>
      </c>
      <c r="I155" s="84">
        <v>26.26</v>
      </c>
      <c r="J155" s="84">
        <v>27.85</v>
      </c>
      <c r="K155" s="84">
        <v>0.94</v>
      </c>
      <c r="L155" s="61" t="str">
        <f t="shared" si="1"/>
        <v>BEARISH</v>
      </c>
    </row>
    <row r="156" spans="2:12" x14ac:dyDescent="0.25">
      <c r="B156" s="59">
        <v>44783.591555208332</v>
      </c>
      <c r="C156" s="60">
        <v>38276.65</v>
      </c>
      <c r="D156" s="62">
        <v>101970000</v>
      </c>
      <c r="E156" s="62">
        <v>98896500</v>
      </c>
      <c r="F156" s="62">
        <v>7181404</v>
      </c>
      <c r="G156" s="62">
        <v>6589524</v>
      </c>
      <c r="H156" s="62">
        <v>-3073500</v>
      </c>
      <c r="I156" s="84">
        <v>26.26</v>
      </c>
      <c r="J156" s="84">
        <v>27.85</v>
      </c>
      <c r="K156" s="84">
        <v>0.94</v>
      </c>
      <c r="L156" s="61" t="str">
        <f t="shared" si="1"/>
        <v>BEARISH</v>
      </c>
    </row>
    <row r="157" spans="2:12" x14ac:dyDescent="0.25">
      <c r="B157" s="59">
        <v>44783.591558796295</v>
      </c>
      <c r="C157" s="60">
        <v>38276.65</v>
      </c>
      <c r="D157" s="62">
        <v>101970000</v>
      </c>
      <c r="E157" s="62">
        <v>98896500</v>
      </c>
      <c r="F157" s="62">
        <v>7181404</v>
      </c>
      <c r="G157" s="62">
        <v>6589524</v>
      </c>
      <c r="H157" s="62">
        <v>-3073500</v>
      </c>
      <c r="I157" s="84">
        <v>26.26</v>
      </c>
      <c r="J157" s="84">
        <v>27.85</v>
      </c>
      <c r="K157" s="84">
        <v>0.94</v>
      </c>
      <c r="L157" s="61" t="str">
        <f t="shared" si="1"/>
        <v>BEARISH</v>
      </c>
    </row>
    <row r="158" spans="2:12" x14ac:dyDescent="0.25">
      <c r="B158" s="59">
        <v>44783.591562268521</v>
      </c>
      <c r="C158" s="60">
        <v>38276.65</v>
      </c>
      <c r="D158" s="62">
        <v>101970000</v>
      </c>
      <c r="E158" s="62">
        <v>98896500</v>
      </c>
      <c r="F158" s="62">
        <v>7181404</v>
      </c>
      <c r="G158" s="62">
        <v>6589524</v>
      </c>
      <c r="H158" s="62">
        <v>-3073500</v>
      </c>
      <c r="I158" s="84">
        <v>26.26</v>
      </c>
      <c r="J158" s="84">
        <v>27.85</v>
      </c>
      <c r="K158" s="84">
        <v>0.94</v>
      </c>
      <c r="L158" s="61" t="str">
        <f t="shared" si="1"/>
        <v>BEARISH</v>
      </c>
    </row>
    <row r="159" spans="2:12" x14ac:dyDescent="0.25">
      <c r="B159" s="59">
        <v>44783.591576851853</v>
      </c>
      <c r="C159" s="60">
        <v>38276.65</v>
      </c>
      <c r="D159" s="62">
        <v>101970000</v>
      </c>
      <c r="E159" s="62">
        <v>98896500</v>
      </c>
      <c r="F159" s="62">
        <v>7181404</v>
      </c>
      <c r="G159" s="62">
        <v>6589524</v>
      </c>
      <c r="H159" s="62">
        <v>-3073500</v>
      </c>
      <c r="I159" s="84">
        <v>26.26</v>
      </c>
      <c r="J159" s="84">
        <v>27.85</v>
      </c>
      <c r="K159" s="84">
        <v>0.94</v>
      </c>
      <c r="L159" s="61" t="str">
        <f t="shared" si="1"/>
        <v>BEARISH</v>
      </c>
    </row>
    <row r="160" spans="2:12" x14ac:dyDescent="0.25">
      <c r="B160" s="59">
        <v>44783.591579976855</v>
      </c>
      <c r="C160" s="60">
        <v>38276.65</v>
      </c>
      <c r="D160" s="62">
        <v>101970000</v>
      </c>
      <c r="E160" s="62">
        <v>98896500</v>
      </c>
      <c r="F160" s="62">
        <v>7181404</v>
      </c>
      <c r="G160" s="62">
        <v>6589524</v>
      </c>
      <c r="H160" s="62">
        <v>-3073500</v>
      </c>
      <c r="I160" s="84">
        <v>26.26</v>
      </c>
      <c r="J160" s="84">
        <v>27.85</v>
      </c>
      <c r="K160" s="84">
        <v>0.94</v>
      </c>
      <c r="L160" s="61" t="str">
        <f t="shared" si="1"/>
        <v>BEARISH</v>
      </c>
    </row>
    <row r="161" spans="2:12" x14ac:dyDescent="0.25">
      <c r="B161" s="59">
        <v>44783.59158310185</v>
      </c>
      <c r="C161" s="60">
        <v>38276.65</v>
      </c>
      <c r="D161" s="62">
        <v>101970000</v>
      </c>
      <c r="E161" s="62">
        <v>98896500</v>
      </c>
      <c r="F161" s="62">
        <v>7181404</v>
      </c>
      <c r="G161" s="62">
        <v>6589524</v>
      </c>
      <c r="H161" s="62">
        <v>-3073500</v>
      </c>
      <c r="I161" s="84">
        <v>26.26</v>
      </c>
      <c r="J161" s="84">
        <v>27.85</v>
      </c>
      <c r="K161" s="84">
        <v>0.94</v>
      </c>
      <c r="L161" s="61" t="str">
        <f t="shared" si="1"/>
        <v>BEARISH</v>
      </c>
    </row>
    <row r="162" spans="2:12" x14ac:dyDescent="0.25">
      <c r="B162" s="59">
        <v>44783.591599768515</v>
      </c>
      <c r="C162" s="60">
        <v>38276.65</v>
      </c>
      <c r="D162" s="62">
        <v>101970000</v>
      </c>
      <c r="E162" s="62">
        <v>98896500</v>
      </c>
      <c r="F162" s="62">
        <v>7181404</v>
      </c>
      <c r="G162" s="62">
        <v>6589524</v>
      </c>
      <c r="H162" s="62">
        <v>-3073500</v>
      </c>
      <c r="I162" s="84">
        <v>26.26</v>
      </c>
      <c r="J162" s="84">
        <v>27.85</v>
      </c>
      <c r="K162" s="84">
        <v>0.94</v>
      </c>
      <c r="L162" s="61" t="str">
        <f t="shared" si="1"/>
        <v>BEARISH</v>
      </c>
    </row>
    <row r="163" spans="2:12" x14ac:dyDescent="0.25">
      <c r="B163" s="59">
        <v>44783.595200231481</v>
      </c>
      <c r="C163" s="60">
        <v>38323.300000000003</v>
      </c>
      <c r="D163" s="62">
        <v>103368000</v>
      </c>
      <c r="E163" s="62">
        <v>99627500</v>
      </c>
      <c r="F163" s="62">
        <v>7389690</v>
      </c>
      <c r="G163" s="62">
        <v>6761907</v>
      </c>
      <c r="H163" s="62">
        <v>-3740500</v>
      </c>
      <c r="I163" s="84">
        <v>26.76</v>
      </c>
      <c r="J163" s="84">
        <v>26.22</v>
      </c>
      <c r="K163" s="84">
        <v>0.93</v>
      </c>
      <c r="L163" s="61" t="str">
        <f t="shared" si="1"/>
        <v>BEARISH</v>
      </c>
    </row>
    <row r="164" spans="2:12" x14ac:dyDescent="0.25">
      <c r="B164" s="59">
        <v>44783.598496412036</v>
      </c>
      <c r="C164" s="60">
        <v>38330.400000000001</v>
      </c>
      <c r="D164" s="62">
        <v>100095000</v>
      </c>
      <c r="E164" s="62">
        <v>95352500</v>
      </c>
      <c r="F164" s="62">
        <v>7518989</v>
      </c>
      <c r="G164" s="62">
        <v>6884837</v>
      </c>
      <c r="H164" s="62">
        <v>-4742500</v>
      </c>
      <c r="I164" s="84">
        <v>26.76</v>
      </c>
      <c r="J164" s="84">
        <v>26.22</v>
      </c>
      <c r="K164" s="84">
        <v>0.89</v>
      </c>
      <c r="L164" s="61" t="str">
        <f t="shared" si="1"/>
        <v>BEARISH</v>
      </c>
    </row>
    <row r="165" spans="2:12" x14ac:dyDescent="0.25">
      <c r="B165" s="59">
        <v>44783.59849837963</v>
      </c>
      <c r="C165" s="60">
        <v>38330.400000000001</v>
      </c>
      <c r="D165" s="62">
        <v>100095000</v>
      </c>
      <c r="E165" s="62">
        <v>95352500</v>
      </c>
      <c r="F165" s="62">
        <v>7518989</v>
      </c>
      <c r="G165" s="62">
        <v>6884837</v>
      </c>
      <c r="H165" s="62">
        <v>-4742500</v>
      </c>
      <c r="I165" s="84">
        <v>26.76</v>
      </c>
      <c r="J165" s="84">
        <v>26.22</v>
      </c>
      <c r="K165" s="84">
        <v>0.89</v>
      </c>
      <c r="L165" s="61" t="str">
        <f t="shared" si="1"/>
        <v>BEARISH</v>
      </c>
    </row>
    <row r="166" spans="2:12" x14ac:dyDescent="0.25">
      <c r="B166" s="59">
        <v>44783.598499768515</v>
      </c>
      <c r="C166" s="60">
        <v>38330.400000000001</v>
      </c>
      <c r="D166" s="62">
        <v>100095000</v>
      </c>
      <c r="E166" s="62">
        <v>95352500</v>
      </c>
      <c r="F166" s="62">
        <v>7518989</v>
      </c>
      <c r="G166" s="62">
        <v>6884837</v>
      </c>
      <c r="H166" s="62">
        <v>-4742500</v>
      </c>
      <c r="I166" s="84">
        <v>26.76</v>
      </c>
      <c r="J166" s="84">
        <v>26.22</v>
      </c>
      <c r="K166" s="84">
        <v>0.89</v>
      </c>
      <c r="L166" s="61" t="str">
        <f t="shared" si="1"/>
        <v>BEARISH</v>
      </c>
    </row>
    <row r="167" spans="2:12" x14ac:dyDescent="0.25">
      <c r="B167" s="59">
        <v>44783.598501273147</v>
      </c>
      <c r="C167" s="60">
        <v>38330.400000000001</v>
      </c>
      <c r="D167" s="62">
        <v>100095000</v>
      </c>
      <c r="E167" s="62">
        <v>95352500</v>
      </c>
      <c r="F167" s="62">
        <v>7518989</v>
      </c>
      <c r="G167" s="62">
        <v>6884837</v>
      </c>
      <c r="H167" s="62">
        <v>-4742500</v>
      </c>
      <c r="I167" s="84">
        <v>26.76</v>
      </c>
      <c r="J167" s="84">
        <v>26.22</v>
      </c>
      <c r="K167" s="84">
        <v>0.89</v>
      </c>
      <c r="L167" s="61" t="str">
        <f t="shared" si="1"/>
        <v>BEARISH</v>
      </c>
    </row>
    <row r="168" spans="2:12" x14ac:dyDescent="0.25">
      <c r="B168" s="59">
        <v>44783.598507754628</v>
      </c>
      <c r="C168" s="60">
        <v>38330.400000000001</v>
      </c>
      <c r="D168" s="62">
        <v>100095000</v>
      </c>
      <c r="E168" s="62">
        <v>95352500</v>
      </c>
      <c r="F168" s="62">
        <v>7518989</v>
      </c>
      <c r="G168" s="62">
        <v>6884837</v>
      </c>
      <c r="H168" s="62">
        <v>-4742500</v>
      </c>
      <c r="I168" s="84">
        <v>26.76</v>
      </c>
      <c r="J168" s="84">
        <v>26.22</v>
      </c>
      <c r="K168" s="84">
        <v>0.89</v>
      </c>
      <c r="L168" s="61" t="str">
        <f t="shared" si="1"/>
        <v>BEARISH</v>
      </c>
    </row>
    <row r="169" spans="2:12" x14ac:dyDescent="0.25">
      <c r="B169" s="59">
        <v>44783.598519212966</v>
      </c>
      <c r="C169" s="60">
        <v>38330.400000000001</v>
      </c>
      <c r="D169" s="62">
        <v>100095000</v>
      </c>
      <c r="E169" s="62">
        <v>95352500</v>
      </c>
      <c r="F169" s="62">
        <v>7518989</v>
      </c>
      <c r="G169" s="62">
        <v>6884837</v>
      </c>
      <c r="H169" s="62">
        <v>-4742500</v>
      </c>
      <c r="I169" s="84">
        <v>26.76</v>
      </c>
      <c r="J169" s="84">
        <v>26.22</v>
      </c>
      <c r="K169" s="84">
        <v>0.89</v>
      </c>
      <c r="L169" s="61" t="str">
        <f t="shared" si="1"/>
        <v>BEARISH</v>
      </c>
    </row>
    <row r="170" spans="2:12" x14ac:dyDescent="0.25">
      <c r="B170" s="59">
        <v>44783.598520833337</v>
      </c>
      <c r="C170" s="60">
        <v>38330.400000000001</v>
      </c>
      <c r="D170" s="62">
        <v>100095000</v>
      </c>
      <c r="E170" s="62">
        <v>95352500</v>
      </c>
      <c r="F170" s="62">
        <v>7518989</v>
      </c>
      <c r="G170" s="62">
        <v>6884837</v>
      </c>
      <c r="H170" s="62">
        <v>-4742500</v>
      </c>
      <c r="I170" s="84">
        <v>26.76</v>
      </c>
      <c r="J170" s="84">
        <v>26.22</v>
      </c>
      <c r="K170" s="84">
        <v>0.89</v>
      </c>
      <c r="L170" s="61" t="str">
        <f t="shared" si="1"/>
        <v>BEARISH</v>
      </c>
    </row>
    <row r="171" spans="2:12" x14ac:dyDescent="0.25">
      <c r="B171" s="59">
        <v>44783.598522106484</v>
      </c>
      <c r="C171" s="60">
        <v>38330.400000000001</v>
      </c>
      <c r="D171" s="62">
        <v>100095000</v>
      </c>
      <c r="E171" s="62">
        <v>95352500</v>
      </c>
      <c r="F171" s="62">
        <v>7518989</v>
      </c>
      <c r="G171" s="62">
        <v>6884837</v>
      </c>
      <c r="H171" s="62">
        <v>-4742500</v>
      </c>
      <c r="I171" s="84">
        <v>26.76</v>
      </c>
      <c r="J171" s="84">
        <v>26.22</v>
      </c>
      <c r="K171" s="84">
        <v>0.89</v>
      </c>
      <c r="L171" s="61" t="str">
        <f t="shared" si="1"/>
        <v>BEARISH</v>
      </c>
    </row>
    <row r="172" spans="2:12" x14ac:dyDescent="0.25">
      <c r="B172" s="59">
        <v>44783.598542476851</v>
      </c>
      <c r="C172" s="60">
        <v>38330.400000000001</v>
      </c>
      <c r="D172" s="62">
        <v>100095000</v>
      </c>
      <c r="E172" s="62">
        <v>95352500</v>
      </c>
      <c r="F172" s="62">
        <v>7518989</v>
      </c>
      <c r="G172" s="62">
        <v>6884837</v>
      </c>
      <c r="H172" s="62">
        <v>-4742500</v>
      </c>
      <c r="I172" s="84">
        <v>26.76</v>
      </c>
      <c r="J172" s="84">
        <v>26.22</v>
      </c>
      <c r="K172" s="84">
        <v>0.89</v>
      </c>
      <c r="L172" s="61" t="str">
        <f t="shared" si="1"/>
        <v>BEARISH</v>
      </c>
    </row>
    <row r="173" spans="2:12" x14ac:dyDescent="0.25">
      <c r="B173" s="59">
        <v>44783.602150462961</v>
      </c>
      <c r="C173" s="60">
        <v>38338.15</v>
      </c>
      <c r="D173" s="62">
        <v>97802500</v>
      </c>
      <c r="E173" s="62">
        <v>92095000</v>
      </c>
      <c r="F173" s="62">
        <v>7662237</v>
      </c>
      <c r="G173" s="62">
        <v>6989639</v>
      </c>
      <c r="H173" s="62">
        <v>-5707500</v>
      </c>
      <c r="I173" s="84">
        <v>28.04</v>
      </c>
      <c r="J173" s="84">
        <v>25.2</v>
      </c>
      <c r="K173" s="84">
        <v>0.89</v>
      </c>
      <c r="L173" s="61" t="str">
        <f t="shared" si="1"/>
        <v>BEARISH</v>
      </c>
    </row>
    <row r="174" spans="2:12" x14ac:dyDescent="0.25">
      <c r="B174" s="59">
        <v>44783.605444444445</v>
      </c>
      <c r="C174" s="60">
        <v>38344.75</v>
      </c>
      <c r="D174" s="62">
        <v>96215500</v>
      </c>
      <c r="E174" s="62">
        <v>91672500</v>
      </c>
      <c r="F174" s="62">
        <v>7718641</v>
      </c>
      <c r="G174" s="62">
        <v>7029715</v>
      </c>
      <c r="H174" s="62">
        <v>-4543000</v>
      </c>
      <c r="I174" s="84">
        <v>28.04</v>
      </c>
      <c r="J174" s="84">
        <v>25.2</v>
      </c>
      <c r="K174" s="84">
        <v>0.91</v>
      </c>
      <c r="L174" s="61" t="str">
        <f t="shared" si="1"/>
        <v>BEARISH</v>
      </c>
    </row>
    <row r="175" spans="2:12" x14ac:dyDescent="0.25">
      <c r="B175" s="59">
        <v>44783.605446412039</v>
      </c>
      <c r="C175" s="60">
        <v>38344.75</v>
      </c>
      <c r="D175" s="62">
        <v>96215500</v>
      </c>
      <c r="E175" s="62">
        <v>91672500</v>
      </c>
      <c r="F175" s="62">
        <v>7718641</v>
      </c>
      <c r="G175" s="62">
        <v>7029715</v>
      </c>
      <c r="H175" s="62">
        <v>-4543000</v>
      </c>
      <c r="I175" s="84">
        <v>28.04</v>
      </c>
      <c r="J175" s="84">
        <v>25.2</v>
      </c>
      <c r="K175" s="84">
        <v>0.91</v>
      </c>
      <c r="L175" s="61" t="str">
        <f t="shared" si="1"/>
        <v>BEARISH</v>
      </c>
    </row>
    <row r="176" spans="2:12" x14ac:dyDescent="0.25">
      <c r="B176" s="59">
        <v>44783.605448379632</v>
      </c>
      <c r="C176" s="60">
        <v>38344.75</v>
      </c>
      <c r="D176" s="62">
        <v>96215500</v>
      </c>
      <c r="E176" s="62">
        <v>91672500</v>
      </c>
      <c r="F176" s="62">
        <v>7718641</v>
      </c>
      <c r="G176" s="62">
        <v>7029715</v>
      </c>
      <c r="H176" s="62">
        <v>-4543000</v>
      </c>
      <c r="I176" s="84">
        <v>28.04</v>
      </c>
      <c r="J176" s="84">
        <v>25.2</v>
      </c>
      <c r="K176" s="84">
        <v>0.91</v>
      </c>
      <c r="L176" s="61" t="str">
        <f t="shared" si="1"/>
        <v>BEARISH</v>
      </c>
    </row>
    <row r="177" spans="2:12" x14ac:dyDescent="0.25">
      <c r="B177" s="59">
        <v>44783.605450115741</v>
      </c>
      <c r="C177" s="60">
        <v>38344.75</v>
      </c>
      <c r="D177" s="62">
        <v>96215500</v>
      </c>
      <c r="E177" s="62">
        <v>91672500</v>
      </c>
      <c r="F177" s="62">
        <v>7718641</v>
      </c>
      <c r="G177" s="62">
        <v>7029715</v>
      </c>
      <c r="H177" s="62">
        <v>-4543000</v>
      </c>
      <c r="I177" s="84">
        <v>28.04</v>
      </c>
      <c r="J177" s="84">
        <v>25.2</v>
      </c>
      <c r="K177" s="84">
        <v>0.91</v>
      </c>
      <c r="L177" s="61" t="str">
        <f t="shared" si="1"/>
        <v>BEARISH</v>
      </c>
    </row>
    <row r="178" spans="2:12" x14ac:dyDescent="0.25">
      <c r="B178" s="59">
        <v>44783.605456365738</v>
      </c>
      <c r="C178" s="60">
        <v>38344.75</v>
      </c>
      <c r="D178" s="62">
        <v>96215500</v>
      </c>
      <c r="E178" s="62">
        <v>91672500</v>
      </c>
      <c r="F178" s="62">
        <v>7718641</v>
      </c>
      <c r="G178" s="62">
        <v>7029715</v>
      </c>
      <c r="H178" s="62">
        <v>-4543000</v>
      </c>
      <c r="I178" s="84">
        <v>28.04</v>
      </c>
      <c r="J178" s="84">
        <v>25.2</v>
      </c>
      <c r="K178" s="84">
        <v>0.91</v>
      </c>
      <c r="L178" s="61" t="str">
        <f t="shared" ref="L178:L185" si="2">IF(D178&gt;E178,"BEARISH",IF(D178&lt;E178,"BULLISH","NOT CONCLUSIVE"))</f>
        <v>BEARISH</v>
      </c>
    </row>
    <row r="179" spans="2:12" x14ac:dyDescent="0.25">
      <c r="B179" s="59">
        <v>44783.605467476853</v>
      </c>
      <c r="C179" s="60">
        <v>38344.75</v>
      </c>
      <c r="D179" s="62">
        <v>96215500</v>
      </c>
      <c r="E179" s="62">
        <v>91672500</v>
      </c>
      <c r="F179" s="62">
        <v>7718641</v>
      </c>
      <c r="G179" s="62">
        <v>7029715</v>
      </c>
      <c r="H179" s="62">
        <v>-4543000</v>
      </c>
      <c r="I179" s="84">
        <v>28.04</v>
      </c>
      <c r="J179" s="84">
        <v>25.2</v>
      </c>
      <c r="K179" s="84">
        <v>0.91</v>
      </c>
      <c r="L179" s="61" t="str">
        <f t="shared" si="2"/>
        <v>BEARISH</v>
      </c>
    </row>
    <row r="180" spans="2:12" x14ac:dyDescent="0.25">
      <c r="B180" s="59">
        <v>44783.60546875</v>
      </c>
      <c r="C180" s="60">
        <v>38344.75</v>
      </c>
      <c r="D180" s="62">
        <v>96215500</v>
      </c>
      <c r="E180" s="62">
        <v>91672500</v>
      </c>
      <c r="F180" s="62">
        <v>7718641</v>
      </c>
      <c r="G180" s="62">
        <v>7029715</v>
      </c>
      <c r="H180" s="62">
        <v>-4543000</v>
      </c>
      <c r="I180" s="84">
        <v>28.04</v>
      </c>
      <c r="J180" s="84">
        <v>25.2</v>
      </c>
      <c r="K180" s="84">
        <v>0.91</v>
      </c>
      <c r="L180" s="61" t="str">
        <f t="shared" si="2"/>
        <v>BEARISH</v>
      </c>
    </row>
    <row r="181" spans="2:12" x14ac:dyDescent="0.25">
      <c r="B181" s="59">
        <v>44783.605470138886</v>
      </c>
      <c r="C181" s="60">
        <v>38344.75</v>
      </c>
      <c r="D181" s="62">
        <v>96215500</v>
      </c>
      <c r="E181" s="62">
        <v>91672500</v>
      </c>
      <c r="F181" s="62">
        <v>7718641</v>
      </c>
      <c r="G181" s="62">
        <v>7029715</v>
      </c>
      <c r="H181" s="62">
        <v>-4543000</v>
      </c>
      <c r="I181" s="84">
        <v>28.04</v>
      </c>
      <c r="J181" s="84">
        <v>25.2</v>
      </c>
      <c r="K181" s="84">
        <v>0.91</v>
      </c>
      <c r="L181" s="61" t="str">
        <f t="shared" si="2"/>
        <v>BEARISH</v>
      </c>
    </row>
    <row r="182" spans="2:12" x14ac:dyDescent="0.25">
      <c r="B182" s="59">
        <v>44783.605486805558</v>
      </c>
      <c r="C182" s="60">
        <v>38328.949999999997</v>
      </c>
      <c r="D182" s="62">
        <v>96271000</v>
      </c>
      <c r="E182" s="62">
        <v>91672500</v>
      </c>
      <c r="F182" s="62">
        <v>7743671</v>
      </c>
      <c r="G182" s="62">
        <v>7052701</v>
      </c>
      <c r="H182" s="62">
        <v>-4598500</v>
      </c>
      <c r="I182" s="84">
        <v>28.04</v>
      </c>
      <c r="J182" s="84">
        <v>25.2</v>
      </c>
      <c r="K182" s="84">
        <v>0.91</v>
      </c>
      <c r="L182" s="61" t="str">
        <f t="shared" si="2"/>
        <v>BEARISH</v>
      </c>
    </row>
    <row r="183" spans="2:12" x14ac:dyDescent="0.25">
      <c r="B183" s="59">
        <v>44783.609096875</v>
      </c>
      <c r="C183" s="60">
        <v>38325.5</v>
      </c>
      <c r="D183" s="62">
        <v>93298500</v>
      </c>
      <c r="E183" s="62">
        <v>90558000</v>
      </c>
      <c r="F183" s="62">
        <v>7816166</v>
      </c>
      <c r="G183" s="62">
        <v>7113101</v>
      </c>
      <c r="H183" s="62">
        <v>-2740500</v>
      </c>
      <c r="I183" s="84">
        <v>27.45</v>
      </c>
      <c r="J183" s="84">
        <v>25.47</v>
      </c>
      <c r="K183" s="84">
        <v>0.92</v>
      </c>
      <c r="L183" s="61" t="str">
        <f t="shared" si="2"/>
        <v>BEARISH</v>
      </c>
    </row>
    <row r="184" spans="2:12" x14ac:dyDescent="0.25">
      <c r="B184" s="59">
        <v>44783.612394212963</v>
      </c>
      <c r="C184" s="60">
        <v>38318.699999999997</v>
      </c>
      <c r="D184" s="62">
        <v>94066000</v>
      </c>
      <c r="E184" s="62">
        <v>91404500</v>
      </c>
      <c r="F184" s="62">
        <v>7913950</v>
      </c>
      <c r="G184" s="62">
        <v>7201699</v>
      </c>
      <c r="H184" s="62">
        <v>-2661500</v>
      </c>
      <c r="I184" s="84">
        <v>27.45</v>
      </c>
      <c r="J184" s="84">
        <v>25.47</v>
      </c>
      <c r="K184" s="84">
        <v>0.92</v>
      </c>
      <c r="L184" s="61" t="str">
        <f t="shared" si="2"/>
        <v>BEARISH</v>
      </c>
    </row>
    <row r="185" spans="2:12" x14ac:dyDescent="0.25">
      <c r="B185" s="59">
        <v>44783.612397222219</v>
      </c>
      <c r="C185" s="60">
        <v>38318.699999999997</v>
      </c>
      <c r="D185" s="62">
        <v>94066000</v>
      </c>
      <c r="E185" s="62">
        <v>91404500</v>
      </c>
      <c r="F185" s="62">
        <v>7913950</v>
      </c>
      <c r="G185" s="62">
        <v>7201699</v>
      </c>
      <c r="H185" s="62">
        <v>-2661500</v>
      </c>
      <c r="I185" s="84">
        <v>27.45</v>
      </c>
      <c r="J185" s="84">
        <v>25.47</v>
      </c>
      <c r="K185" s="84">
        <v>0.92</v>
      </c>
      <c r="L185" s="61" t="str">
        <f t="shared" si="2"/>
        <v>BEARISH</v>
      </c>
    </row>
    <row r="186" spans="2:12" x14ac:dyDescent="0.25">
      <c r="B186" s="59">
        <v>44783.612399652775</v>
      </c>
      <c r="C186" s="60">
        <v>38318.699999999997</v>
      </c>
      <c r="D186" s="62">
        <v>94066000</v>
      </c>
      <c r="E186" s="62">
        <v>91404500</v>
      </c>
      <c r="F186" s="62">
        <v>7913950</v>
      </c>
      <c r="G186" s="62">
        <v>7201699</v>
      </c>
      <c r="H186" s="62">
        <v>-2661500</v>
      </c>
      <c r="I186" s="84">
        <v>27.45</v>
      </c>
      <c r="J186" s="84">
        <v>25.47</v>
      </c>
      <c r="K186" s="84">
        <v>0.92</v>
      </c>
      <c r="L186" s="61" t="str">
        <f t="shared" si="1"/>
        <v>BEARISH</v>
      </c>
    </row>
    <row r="187" spans="2:12" x14ac:dyDescent="0.25">
      <c r="B187" s="59">
        <v>44783.612401851853</v>
      </c>
      <c r="C187" s="60">
        <v>38318.699999999997</v>
      </c>
      <c r="D187" s="62">
        <v>94066000</v>
      </c>
      <c r="E187" s="62">
        <v>91404500</v>
      </c>
      <c r="F187" s="62">
        <v>7913950</v>
      </c>
      <c r="G187" s="62">
        <v>7201699</v>
      </c>
      <c r="H187" s="62">
        <v>-2661500</v>
      </c>
      <c r="I187" s="84">
        <v>27.45</v>
      </c>
      <c r="J187" s="84">
        <v>25.47</v>
      </c>
      <c r="K187" s="84">
        <v>0.92</v>
      </c>
      <c r="L187" s="61" t="str">
        <f t="shared" si="1"/>
        <v>BEARISH</v>
      </c>
    </row>
    <row r="188" spans="2:12" x14ac:dyDescent="0.25">
      <c r="B188" s="59">
        <v>44783.61240416667</v>
      </c>
      <c r="C188" s="60">
        <v>38318.699999999997</v>
      </c>
      <c r="D188" s="62">
        <v>94066000</v>
      </c>
      <c r="E188" s="62">
        <v>91404500</v>
      </c>
      <c r="F188" s="62">
        <v>7913950</v>
      </c>
      <c r="G188" s="62">
        <v>7201699</v>
      </c>
      <c r="H188" s="62">
        <v>-2661500</v>
      </c>
      <c r="I188" s="84">
        <v>27.45</v>
      </c>
      <c r="J188" s="84">
        <v>25.47</v>
      </c>
      <c r="K188" s="84">
        <v>0.92</v>
      </c>
      <c r="L188" s="61" t="str">
        <f t="shared" si="1"/>
        <v>BEARISH</v>
      </c>
    </row>
    <row r="189" spans="2:12" x14ac:dyDescent="0.25">
      <c r="B189" s="59">
        <v>44783.612414120369</v>
      </c>
      <c r="C189" s="60">
        <v>38318.699999999997</v>
      </c>
      <c r="D189" s="62">
        <v>94066000</v>
      </c>
      <c r="E189" s="62">
        <v>91404500</v>
      </c>
      <c r="F189" s="62">
        <v>7913950</v>
      </c>
      <c r="G189" s="62">
        <v>7201699</v>
      </c>
      <c r="H189" s="62">
        <v>-2661500</v>
      </c>
      <c r="I189" s="84">
        <v>27.45</v>
      </c>
      <c r="J189" s="84">
        <v>25.47</v>
      </c>
      <c r="K189" s="84">
        <v>0.92</v>
      </c>
      <c r="L189" s="61" t="str">
        <f t="shared" si="1"/>
        <v>BEARISH</v>
      </c>
    </row>
    <row r="190" spans="2:12" x14ac:dyDescent="0.25">
      <c r="B190" s="59">
        <v>44783.612416319447</v>
      </c>
      <c r="C190" s="60">
        <v>38318.699999999997</v>
      </c>
      <c r="D190" s="62">
        <v>94066000</v>
      </c>
      <c r="E190" s="62">
        <v>91404500</v>
      </c>
      <c r="F190" s="62">
        <v>7913950</v>
      </c>
      <c r="G190" s="62">
        <v>7201699</v>
      </c>
      <c r="H190" s="62">
        <v>-2661500</v>
      </c>
      <c r="I190" s="84">
        <v>27.45</v>
      </c>
      <c r="J190" s="84">
        <v>25.47</v>
      </c>
      <c r="K190" s="84">
        <v>0.92</v>
      </c>
      <c r="L190" s="61" t="str">
        <f t="shared" si="1"/>
        <v>BEARISH</v>
      </c>
    </row>
    <row r="191" spans="2:12" x14ac:dyDescent="0.25">
      <c r="B191" s="59">
        <v>44783.612420486112</v>
      </c>
      <c r="C191" s="60">
        <v>38318.699999999997</v>
      </c>
      <c r="D191" s="62">
        <v>94066000</v>
      </c>
      <c r="E191" s="62">
        <v>91404500</v>
      </c>
      <c r="F191" s="62">
        <v>7913950</v>
      </c>
      <c r="G191" s="62">
        <v>7201699</v>
      </c>
      <c r="H191" s="62">
        <v>-2661500</v>
      </c>
      <c r="I191" s="84">
        <v>27.45</v>
      </c>
      <c r="J191" s="84">
        <v>25.47</v>
      </c>
      <c r="K191" s="84">
        <v>0.92</v>
      </c>
      <c r="L191" s="61" t="str">
        <f t="shared" si="1"/>
        <v>BEARISH</v>
      </c>
    </row>
    <row r="192" spans="2:12" x14ac:dyDescent="0.25">
      <c r="B192" s="59">
        <v>44783.612432291666</v>
      </c>
      <c r="C192" s="60">
        <v>38318.699999999997</v>
      </c>
      <c r="D192" s="62">
        <v>94066000</v>
      </c>
      <c r="E192" s="62">
        <v>91404500</v>
      </c>
      <c r="F192" s="62">
        <v>7913950</v>
      </c>
      <c r="G192" s="62">
        <v>7201699</v>
      </c>
      <c r="H192" s="62">
        <v>-2661500</v>
      </c>
      <c r="I192" s="84">
        <v>27.45</v>
      </c>
      <c r="J192" s="84">
        <v>25.47</v>
      </c>
      <c r="K192" s="84">
        <v>0.92</v>
      </c>
      <c r="L192" s="61" t="str">
        <f t="shared" si="1"/>
        <v>BEARISH</v>
      </c>
    </row>
    <row r="193" spans="2:12" x14ac:dyDescent="0.25">
      <c r="B193" s="59">
        <v>44783.616053819445</v>
      </c>
      <c r="C193" s="60">
        <v>38312.300000000003</v>
      </c>
      <c r="D193" s="62">
        <v>94740500</v>
      </c>
      <c r="E193" s="62">
        <v>89872000</v>
      </c>
      <c r="F193" s="62">
        <v>8043818</v>
      </c>
      <c r="G193" s="62">
        <v>7316362</v>
      </c>
      <c r="H193" s="62">
        <v>-4868500</v>
      </c>
      <c r="I193" s="84">
        <v>26.65</v>
      </c>
      <c r="J193" s="84">
        <v>25.91</v>
      </c>
      <c r="K193" s="84">
        <v>0.91</v>
      </c>
      <c r="L193" s="61" t="str">
        <f t="shared" si="1"/>
        <v>BEARISH</v>
      </c>
    </row>
    <row r="194" spans="2:12" x14ac:dyDescent="0.25">
      <c r="B194" s="59">
        <v>44783.619348032407</v>
      </c>
      <c r="C194" s="60">
        <v>38314.6</v>
      </c>
      <c r="D194" s="62">
        <v>94958500</v>
      </c>
      <c r="E194" s="62">
        <v>88792000</v>
      </c>
      <c r="F194" s="62">
        <v>8072844</v>
      </c>
      <c r="G194" s="62">
        <v>7339756</v>
      </c>
      <c r="H194" s="62">
        <v>-6166500</v>
      </c>
      <c r="I194" s="84">
        <v>26.65</v>
      </c>
      <c r="J194" s="84">
        <v>25.91</v>
      </c>
      <c r="K194" s="84">
        <v>0.91</v>
      </c>
      <c r="L194" s="61" t="str">
        <f t="shared" si="1"/>
        <v>BEARISH</v>
      </c>
    </row>
    <row r="195" spans="2:12" x14ac:dyDescent="0.25">
      <c r="B195" s="59">
        <v>44783.619350347224</v>
      </c>
      <c r="C195" s="60">
        <v>38314.6</v>
      </c>
      <c r="D195" s="62">
        <v>94958500</v>
      </c>
      <c r="E195" s="62">
        <v>88792000</v>
      </c>
      <c r="F195" s="62">
        <v>8072844</v>
      </c>
      <c r="G195" s="62">
        <v>7339756</v>
      </c>
      <c r="H195" s="62">
        <v>-6166500</v>
      </c>
      <c r="I195" s="84">
        <v>26.65</v>
      </c>
      <c r="J195" s="84">
        <v>25.91</v>
      </c>
      <c r="K195" s="84">
        <v>0.91</v>
      </c>
      <c r="L195" s="61" t="str">
        <f t="shared" si="1"/>
        <v>BEARISH</v>
      </c>
    </row>
    <row r="196" spans="2:12" x14ac:dyDescent="0.25">
      <c r="B196" s="59">
        <v>44783.619351851848</v>
      </c>
      <c r="C196" s="60">
        <v>38314.6</v>
      </c>
      <c r="D196" s="62">
        <v>94958500</v>
      </c>
      <c r="E196" s="62">
        <v>88792000</v>
      </c>
      <c r="F196" s="62">
        <v>8072844</v>
      </c>
      <c r="G196" s="62">
        <v>7339756</v>
      </c>
      <c r="H196" s="62">
        <v>-6166500</v>
      </c>
      <c r="I196" s="84">
        <v>26.65</v>
      </c>
      <c r="J196" s="84">
        <v>25.91</v>
      </c>
      <c r="K196" s="84">
        <v>0.91</v>
      </c>
      <c r="L196" s="61" t="str">
        <f t="shared" ref="L196:L259" si="3">IF(D196&gt;E196,"BEARISH",IF(D196&lt;E196,"BULLISH","NOT CONCLUSIVE"))</f>
        <v>BEARISH</v>
      </c>
    </row>
    <row r="197" spans="2:12" x14ac:dyDescent="0.25">
      <c r="B197" s="59">
        <v>44783.619354050927</v>
      </c>
      <c r="C197" s="60">
        <v>38314.6</v>
      </c>
      <c r="D197" s="62">
        <v>94958500</v>
      </c>
      <c r="E197" s="62">
        <v>88792000</v>
      </c>
      <c r="F197" s="62">
        <v>8072844</v>
      </c>
      <c r="G197" s="62">
        <v>7339756</v>
      </c>
      <c r="H197" s="62">
        <v>-6166500</v>
      </c>
      <c r="I197" s="84">
        <v>26.65</v>
      </c>
      <c r="J197" s="84">
        <v>25.91</v>
      </c>
      <c r="K197" s="84">
        <v>0.91</v>
      </c>
      <c r="L197" s="61" t="str">
        <f t="shared" si="3"/>
        <v>BEARISH</v>
      </c>
    </row>
    <row r="198" spans="2:12" x14ac:dyDescent="0.25">
      <c r="B198" s="59">
        <v>44783.619355787036</v>
      </c>
      <c r="C198" s="60">
        <v>38314.6</v>
      </c>
      <c r="D198" s="62">
        <v>94958500</v>
      </c>
      <c r="E198" s="62">
        <v>88792000</v>
      </c>
      <c r="F198" s="62">
        <v>8072844</v>
      </c>
      <c r="G198" s="62">
        <v>7339756</v>
      </c>
      <c r="H198" s="62">
        <v>-6166500</v>
      </c>
      <c r="I198" s="84">
        <v>26.65</v>
      </c>
      <c r="J198" s="84">
        <v>25.91</v>
      </c>
      <c r="K198" s="84">
        <v>0.91</v>
      </c>
      <c r="L198" s="61" t="str">
        <f t="shared" si="3"/>
        <v>BEARISH</v>
      </c>
    </row>
    <row r="199" spans="2:12" x14ac:dyDescent="0.25">
      <c r="B199" s="59">
        <v>44783.619357523145</v>
      </c>
      <c r="C199" s="60">
        <v>38314.6</v>
      </c>
      <c r="D199" s="62">
        <v>94958500</v>
      </c>
      <c r="E199" s="62">
        <v>88792000</v>
      </c>
      <c r="F199" s="62">
        <v>8072844</v>
      </c>
      <c r="G199" s="62">
        <v>7339756</v>
      </c>
      <c r="H199" s="62">
        <v>-6166500</v>
      </c>
      <c r="I199" s="84">
        <v>26.65</v>
      </c>
      <c r="J199" s="84">
        <v>25.91</v>
      </c>
      <c r="K199" s="84">
        <v>0.91</v>
      </c>
      <c r="L199" s="61" t="str">
        <f t="shared" si="3"/>
        <v>BEARISH</v>
      </c>
    </row>
    <row r="200" spans="2:12" x14ac:dyDescent="0.25">
      <c r="B200" s="59">
        <v>44783.619359490738</v>
      </c>
      <c r="C200" s="60">
        <v>38314.6</v>
      </c>
      <c r="D200" s="62">
        <v>94958500</v>
      </c>
      <c r="E200" s="62">
        <v>88792000</v>
      </c>
      <c r="F200" s="62">
        <v>8072844</v>
      </c>
      <c r="G200" s="62">
        <v>7339756</v>
      </c>
      <c r="H200" s="62">
        <v>-6166500</v>
      </c>
      <c r="I200" s="84">
        <v>26.65</v>
      </c>
      <c r="J200" s="84">
        <v>25.91</v>
      </c>
      <c r="K200" s="84">
        <v>0.91</v>
      </c>
      <c r="L200" s="61" t="str">
        <f t="shared" si="3"/>
        <v>BEARISH</v>
      </c>
    </row>
    <row r="201" spans="2:12" x14ac:dyDescent="0.25">
      <c r="B201" s="59">
        <v>44783.619372800924</v>
      </c>
      <c r="C201" s="60">
        <v>38314.6</v>
      </c>
      <c r="D201" s="62">
        <v>94958500</v>
      </c>
      <c r="E201" s="62">
        <v>88792000</v>
      </c>
      <c r="F201" s="62">
        <v>8072844</v>
      </c>
      <c r="G201" s="62">
        <v>7339756</v>
      </c>
      <c r="H201" s="62">
        <v>-6166500</v>
      </c>
      <c r="I201" s="84">
        <v>26.65</v>
      </c>
      <c r="J201" s="84">
        <v>25.91</v>
      </c>
      <c r="K201" s="84">
        <v>0.91</v>
      </c>
      <c r="L201" s="61" t="str">
        <f t="shared" si="3"/>
        <v>BEARISH</v>
      </c>
    </row>
    <row r="202" spans="2:12" x14ac:dyDescent="0.25">
      <c r="B202" s="59">
        <v>44783.619377662035</v>
      </c>
      <c r="C202" s="60">
        <v>38314.6</v>
      </c>
      <c r="D202" s="62">
        <v>94958500</v>
      </c>
      <c r="E202" s="62">
        <v>88792000</v>
      </c>
      <c r="F202" s="62">
        <v>8072844</v>
      </c>
      <c r="G202" s="62">
        <v>7339756</v>
      </c>
      <c r="H202" s="62">
        <v>-6166500</v>
      </c>
      <c r="I202" s="84">
        <v>26.65</v>
      </c>
      <c r="J202" s="84">
        <v>25.91</v>
      </c>
      <c r="K202" s="84">
        <v>0.91</v>
      </c>
      <c r="L202" s="61" t="str">
        <f t="shared" si="3"/>
        <v>BEARISH</v>
      </c>
    </row>
    <row r="203" spans="2:12" x14ac:dyDescent="0.25">
      <c r="B203" s="59"/>
      <c r="C203" s="60"/>
      <c r="D203" s="62"/>
      <c r="E203" s="62"/>
      <c r="F203" s="62"/>
      <c r="G203" s="62"/>
      <c r="H203" s="62"/>
      <c r="I203" s="84"/>
      <c r="J203" s="84"/>
      <c r="K203" s="84"/>
      <c r="L203" s="61" t="str">
        <f t="shared" si="3"/>
        <v>NOT CONCLUSIVE</v>
      </c>
    </row>
    <row r="204" spans="2:12" x14ac:dyDescent="0.25">
      <c r="B204" s="59"/>
      <c r="C204" s="60"/>
      <c r="D204" s="62"/>
      <c r="E204" s="62"/>
      <c r="F204" s="62"/>
      <c r="G204" s="62"/>
      <c r="H204" s="62"/>
      <c r="I204" s="84"/>
      <c r="J204" s="84"/>
      <c r="K204" s="84"/>
      <c r="L204" s="61" t="str">
        <f t="shared" si="3"/>
        <v>NOT CONCLUSIVE</v>
      </c>
    </row>
    <row r="205" spans="2:12" x14ac:dyDescent="0.25">
      <c r="B205" s="59"/>
      <c r="C205" s="60"/>
      <c r="D205" s="62"/>
      <c r="E205" s="62"/>
      <c r="F205" s="62"/>
      <c r="G205" s="62"/>
      <c r="H205" s="62"/>
      <c r="I205" s="84"/>
      <c r="J205" s="84"/>
      <c r="K205" s="84"/>
      <c r="L205" s="61" t="str">
        <f t="shared" si="3"/>
        <v>NOT CONCLUSIVE</v>
      </c>
    </row>
    <row r="206" spans="2:12" x14ac:dyDescent="0.25">
      <c r="B206" s="59"/>
      <c r="C206" s="60"/>
      <c r="D206" s="62"/>
      <c r="E206" s="62"/>
      <c r="F206" s="62"/>
      <c r="G206" s="62"/>
      <c r="H206" s="62"/>
      <c r="I206" s="84"/>
      <c r="J206" s="84"/>
      <c r="K206" s="84"/>
      <c r="L206" s="61" t="str">
        <f t="shared" si="3"/>
        <v>NOT CONCLUSIVE</v>
      </c>
    </row>
    <row r="207" spans="2:12" x14ac:dyDescent="0.25">
      <c r="B207" s="59"/>
      <c r="C207" s="60"/>
      <c r="D207" s="62"/>
      <c r="E207" s="62"/>
      <c r="F207" s="62"/>
      <c r="G207" s="62"/>
      <c r="H207" s="62"/>
      <c r="I207" s="84"/>
      <c r="J207" s="84"/>
      <c r="K207" s="84"/>
      <c r="L207" s="61" t="str">
        <f t="shared" si="3"/>
        <v>NOT CONCLUSIVE</v>
      </c>
    </row>
    <row r="208" spans="2:12" x14ac:dyDescent="0.25">
      <c r="B208" s="59"/>
      <c r="C208" s="60"/>
      <c r="D208" s="62"/>
      <c r="E208" s="62"/>
      <c r="F208" s="62"/>
      <c r="G208" s="62"/>
      <c r="H208" s="62"/>
      <c r="I208" s="84"/>
      <c r="J208" s="84"/>
      <c r="K208" s="84"/>
      <c r="L208" s="61" t="str">
        <f t="shared" si="3"/>
        <v>NOT CONCLUSIVE</v>
      </c>
    </row>
    <row r="209" spans="2:12" x14ac:dyDescent="0.25">
      <c r="B209" s="59"/>
      <c r="C209" s="60"/>
      <c r="D209" s="62"/>
      <c r="E209" s="62"/>
      <c r="F209" s="62"/>
      <c r="G209" s="62"/>
      <c r="H209" s="62"/>
      <c r="I209" s="84"/>
      <c r="J209" s="84"/>
      <c r="K209" s="84"/>
      <c r="L209" s="61" t="str">
        <f t="shared" si="3"/>
        <v>NOT CONCLUSIVE</v>
      </c>
    </row>
    <row r="210" spans="2:12" x14ac:dyDescent="0.25">
      <c r="B210" s="59"/>
      <c r="C210" s="60"/>
      <c r="D210" s="62"/>
      <c r="E210" s="62"/>
      <c r="F210" s="62"/>
      <c r="G210" s="62"/>
      <c r="H210" s="62"/>
      <c r="I210" s="84"/>
      <c r="J210" s="84"/>
      <c r="K210" s="84"/>
      <c r="L210" s="61" t="str">
        <f t="shared" si="3"/>
        <v>NOT CONCLUSIVE</v>
      </c>
    </row>
    <row r="211" spans="2:12" x14ac:dyDescent="0.25">
      <c r="B211" s="59"/>
      <c r="C211" s="60"/>
      <c r="D211" s="62"/>
      <c r="E211" s="62"/>
      <c r="F211" s="62"/>
      <c r="G211" s="62"/>
      <c r="H211" s="62"/>
      <c r="I211" s="84"/>
      <c r="J211" s="84"/>
      <c r="K211" s="84"/>
      <c r="L211" s="61" t="str">
        <f t="shared" si="3"/>
        <v>NOT CONCLUSIVE</v>
      </c>
    </row>
    <row r="212" spans="2:12" x14ac:dyDescent="0.25">
      <c r="B212" s="59"/>
      <c r="C212" s="60"/>
      <c r="D212" s="62"/>
      <c r="E212" s="62"/>
      <c r="F212" s="62"/>
      <c r="G212" s="62"/>
      <c r="H212" s="62"/>
      <c r="I212" s="84"/>
      <c r="J212" s="84"/>
      <c r="K212" s="84"/>
      <c r="L212" s="61" t="str">
        <f t="shared" si="3"/>
        <v>NOT CONCLUSIVE</v>
      </c>
    </row>
    <row r="213" spans="2:12" x14ac:dyDescent="0.25">
      <c r="B213" s="59"/>
      <c r="C213" s="60"/>
      <c r="D213" s="62"/>
      <c r="E213" s="62"/>
      <c r="F213" s="62"/>
      <c r="G213" s="62"/>
      <c r="H213" s="62"/>
      <c r="I213" s="84"/>
      <c r="J213" s="84"/>
      <c r="K213" s="84"/>
      <c r="L213" s="61" t="str">
        <f t="shared" si="3"/>
        <v>NOT CONCLUSIVE</v>
      </c>
    </row>
    <row r="214" spans="2:12" x14ac:dyDescent="0.25">
      <c r="B214" s="59"/>
      <c r="C214" s="60"/>
      <c r="D214" s="62"/>
      <c r="E214" s="62"/>
      <c r="F214" s="62"/>
      <c r="G214" s="62"/>
      <c r="H214" s="62"/>
      <c r="I214" s="84"/>
      <c r="J214" s="84"/>
      <c r="K214" s="84"/>
      <c r="L214" s="61" t="str">
        <f t="shared" si="3"/>
        <v>NOT CONCLUSIVE</v>
      </c>
    </row>
    <row r="215" spans="2:12" x14ac:dyDescent="0.25">
      <c r="B215" s="59"/>
      <c r="C215" s="60"/>
      <c r="D215" s="62"/>
      <c r="E215" s="62"/>
      <c r="F215" s="62"/>
      <c r="G215" s="62"/>
      <c r="H215" s="62"/>
      <c r="I215" s="84"/>
      <c r="J215" s="84"/>
      <c r="K215" s="84"/>
      <c r="L215" s="61" t="str">
        <f t="shared" si="3"/>
        <v>NOT CONCLUSIVE</v>
      </c>
    </row>
    <row r="216" spans="2:12" x14ac:dyDescent="0.25">
      <c r="B216" s="59"/>
      <c r="C216" s="60"/>
      <c r="D216" s="62"/>
      <c r="E216" s="62"/>
      <c r="F216" s="62"/>
      <c r="G216" s="62"/>
      <c r="H216" s="62"/>
      <c r="I216" s="84"/>
      <c r="J216" s="84"/>
      <c r="K216" s="84"/>
      <c r="L216" s="61" t="str">
        <f t="shared" si="3"/>
        <v>NOT CONCLUSIVE</v>
      </c>
    </row>
    <row r="217" spans="2:12" x14ac:dyDescent="0.25">
      <c r="B217" s="59"/>
      <c r="C217" s="60"/>
      <c r="D217" s="62"/>
      <c r="E217" s="62"/>
      <c r="F217" s="62"/>
      <c r="G217" s="62"/>
      <c r="H217" s="62"/>
      <c r="I217" s="84"/>
      <c r="J217" s="84"/>
      <c r="K217" s="84"/>
      <c r="L217" s="61" t="str">
        <f t="shared" si="3"/>
        <v>NOT CONCLUSIVE</v>
      </c>
    </row>
    <row r="218" spans="2:12" x14ac:dyDescent="0.25">
      <c r="B218" s="59"/>
      <c r="C218" s="60"/>
      <c r="D218" s="62"/>
      <c r="E218" s="62"/>
      <c r="F218" s="62"/>
      <c r="G218" s="62"/>
      <c r="H218" s="62"/>
      <c r="I218" s="84"/>
      <c r="J218" s="84"/>
      <c r="K218" s="84"/>
      <c r="L218" s="61" t="str">
        <f t="shared" si="3"/>
        <v>NOT CONCLUSIVE</v>
      </c>
    </row>
    <row r="219" spans="2:12" x14ac:dyDescent="0.25">
      <c r="B219" s="59"/>
      <c r="C219" s="60"/>
      <c r="D219" s="62"/>
      <c r="E219" s="62"/>
      <c r="F219" s="62"/>
      <c r="G219" s="62"/>
      <c r="H219" s="62"/>
      <c r="I219" s="84"/>
      <c r="J219" s="84"/>
      <c r="K219" s="84"/>
      <c r="L219" s="61" t="str">
        <f t="shared" si="3"/>
        <v>NOT CONCLUSIVE</v>
      </c>
    </row>
    <row r="220" spans="2:12" x14ac:dyDescent="0.25">
      <c r="B220" s="59"/>
      <c r="C220" s="60"/>
      <c r="D220" s="62"/>
      <c r="E220" s="62"/>
      <c r="F220" s="62"/>
      <c r="G220" s="62"/>
      <c r="H220" s="62"/>
      <c r="I220" s="84"/>
      <c r="J220" s="84"/>
      <c r="K220" s="84"/>
      <c r="L220" s="61" t="str">
        <f t="shared" si="3"/>
        <v>NOT CONCLUSIVE</v>
      </c>
    </row>
    <row r="221" spans="2:12" x14ac:dyDescent="0.25">
      <c r="B221" s="59"/>
      <c r="C221" s="60"/>
      <c r="D221" s="62"/>
      <c r="E221" s="62"/>
      <c r="F221" s="62"/>
      <c r="G221" s="62"/>
      <c r="H221" s="62"/>
      <c r="I221" s="84"/>
      <c r="J221" s="84"/>
      <c r="K221" s="84"/>
      <c r="L221" s="61" t="str">
        <f t="shared" si="3"/>
        <v>NOT CONCLUSIVE</v>
      </c>
    </row>
    <row r="222" spans="2:12" x14ac:dyDescent="0.25">
      <c r="B222" s="59"/>
      <c r="C222" s="60"/>
      <c r="D222" s="62"/>
      <c r="E222" s="62"/>
      <c r="F222" s="62"/>
      <c r="G222" s="62"/>
      <c r="H222" s="62"/>
      <c r="I222" s="84"/>
      <c r="J222" s="84"/>
      <c r="K222" s="84"/>
      <c r="L222" s="61" t="str">
        <f t="shared" si="3"/>
        <v>NOT CONCLUSIVE</v>
      </c>
    </row>
    <row r="223" spans="2:12" x14ac:dyDescent="0.25">
      <c r="B223" s="59"/>
      <c r="C223" s="60"/>
      <c r="D223" s="62"/>
      <c r="E223" s="62"/>
      <c r="F223" s="62"/>
      <c r="G223" s="62"/>
      <c r="H223" s="62"/>
      <c r="I223" s="84"/>
      <c r="J223" s="84"/>
      <c r="K223" s="84"/>
      <c r="L223" s="61" t="str">
        <f t="shared" si="3"/>
        <v>NOT CONCLUSIVE</v>
      </c>
    </row>
    <row r="224" spans="2:12" x14ac:dyDescent="0.25">
      <c r="B224" s="59"/>
      <c r="C224" s="60"/>
      <c r="D224" s="62"/>
      <c r="E224" s="62"/>
      <c r="F224" s="62"/>
      <c r="G224" s="62"/>
      <c r="H224" s="62"/>
      <c r="I224" s="84"/>
      <c r="J224" s="84"/>
      <c r="K224" s="84"/>
      <c r="L224" s="61" t="str">
        <f t="shared" si="3"/>
        <v>NOT CONCLUSIVE</v>
      </c>
    </row>
    <row r="225" spans="2:12" x14ac:dyDescent="0.25">
      <c r="B225" s="59"/>
      <c r="C225" s="60"/>
      <c r="D225" s="62"/>
      <c r="E225" s="62"/>
      <c r="F225" s="62"/>
      <c r="G225" s="62"/>
      <c r="H225" s="62"/>
      <c r="I225" s="84"/>
      <c r="J225" s="84"/>
      <c r="K225" s="84"/>
      <c r="L225" s="61" t="str">
        <f t="shared" si="3"/>
        <v>NOT CONCLUSIVE</v>
      </c>
    </row>
    <row r="226" spans="2:12" x14ac:dyDescent="0.25">
      <c r="B226" s="59"/>
      <c r="C226" s="60"/>
      <c r="D226" s="62"/>
      <c r="E226" s="62"/>
      <c r="F226" s="62"/>
      <c r="G226" s="62"/>
      <c r="H226" s="62"/>
      <c r="I226" s="84"/>
      <c r="J226" s="84"/>
      <c r="K226" s="84"/>
      <c r="L226" s="61" t="str">
        <f t="shared" si="3"/>
        <v>NOT CONCLUSIVE</v>
      </c>
    </row>
    <row r="227" spans="2:12" x14ac:dyDescent="0.25">
      <c r="B227" s="59"/>
      <c r="C227" s="60"/>
      <c r="D227" s="62"/>
      <c r="E227" s="62"/>
      <c r="F227" s="62"/>
      <c r="G227" s="62"/>
      <c r="H227" s="62"/>
      <c r="I227" s="84"/>
      <c r="J227" s="84"/>
      <c r="K227" s="84"/>
      <c r="L227" s="61" t="str">
        <f t="shared" si="3"/>
        <v>NOT CONCLUSIVE</v>
      </c>
    </row>
    <row r="228" spans="2:12" x14ac:dyDescent="0.25">
      <c r="B228" s="59"/>
      <c r="C228" s="60"/>
      <c r="D228" s="62"/>
      <c r="E228" s="62"/>
      <c r="F228" s="62"/>
      <c r="G228" s="62"/>
      <c r="H228" s="62"/>
      <c r="I228" s="84"/>
      <c r="J228" s="84"/>
      <c r="K228" s="84"/>
      <c r="L228" s="61" t="str">
        <f t="shared" si="3"/>
        <v>NOT CONCLUSIVE</v>
      </c>
    </row>
    <row r="229" spans="2:12" x14ac:dyDescent="0.25">
      <c r="B229" s="59"/>
      <c r="C229" s="60"/>
      <c r="D229" s="62"/>
      <c r="E229" s="62"/>
      <c r="F229" s="62"/>
      <c r="G229" s="62"/>
      <c r="H229" s="62"/>
      <c r="I229" s="84"/>
      <c r="J229" s="84"/>
      <c r="K229" s="84"/>
      <c r="L229" s="61" t="str">
        <f t="shared" si="3"/>
        <v>NOT CONCLUSIVE</v>
      </c>
    </row>
    <row r="230" spans="2:12" x14ac:dyDescent="0.25">
      <c r="B230" s="59"/>
      <c r="C230" s="60"/>
      <c r="D230" s="62"/>
      <c r="E230" s="62"/>
      <c r="F230" s="62"/>
      <c r="G230" s="62"/>
      <c r="H230" s="62"/>
      <c r="I230" s="84"/>
      <c r="J230" s="84"/>
      <c r="K230" s="84"/>
      <c r="L230" s="61" t="str">
        <f t="shared" si="3"/>
        <v>NOT CONCLUSIVE</v>
      </c>
    </row>
    <row r="231" spans="2:12" x14ac:dyDescent="0.25">
      <c r="B231" s="59"/>
      <c r="C231" s="60"/>
      <c r="D231" s="62"/>
      <c r="E231" s="62"/>
      <c r="F231" s="62"/>
      <c r="G231" s="62"/>
      <c r="H231" s="62"/>
      <c r="I231" s="84"/>
      <c r="J231" s="84"/>
      <c r="K231" s="84"/>
      <c r="L231" s="61" t="str">
        <f t="shared" si="3"/>
        <v>NOT CONCLUSIVE</v>
      </c>
    </row>
    <row r="232" spans="2:12" x14ac:dyDescent="0.25">
      <c r="B232" s="59"/>
      <c r="C232" s="60"/>
      <c r="D232" s="62"/>
      <c r="E232" s="62"/>
      <c r="F232" s="62"/>
      <c r="G232" s="62"/>
      <c r="H232" s="62"/>
      <c r="I232" s="84"/>
      <c r="J232" s="84"/>
      <c r="K232" s="84"/>
      <c r="L232" s="61" t="str">
        <f t="shared" si="3"/>
        <v>NOT CONCLUSIVE</v>
      </c>
    </row>
    <row r="233" spans="2:12" x14ac:dyDescent="0.25">
      <c r="B233" s="59"/>
      <c r="C233" s="60"/>
      <c r="D233" s="62"/>
      <c r="E233" s="62"/>
      <c r="F233" s="62"/>
      <c r="G233" s="62"/>
      <c r="H233" s="62"/>
      <c r="I233" s="84"/>
      <c r="J233" s="84"/>
      <c r="K233" s="84"/>
      <c r="L233" s="61" t="str">
        <f t="shared" si="3"/>
        <v>NOT CONCLUSIVE</v>
      </c>
    </row>
    <row r="234" spans="2:12" x14ac:dyDescent="0.25">
      <c r="B234" s="59"/>
      <c r="C234" s="60"/>
      <c r="D234" s="62"/>
      <c r="E234" s="62"/>
      <c r="F234" s="62"/>
      <c r="G234" s="62"/>
      <c r="H234" s="62"/>
      <c r="I234" s="84"/>
      <c r="J234" s="84"/>
      <c r="K234" s="84"/>
      <c r="L234" s="61" t="str">
        <f t="shared" si="3"/>
        <v>NOT CONCLUSIVE</v>
      </c>
    </row>
    <row r="235" spans="2:12" x14ac:dyDescent="0.25">
      <c r="B235" s="59"/>
      <c r="C235" s="60"/>
      <c r="D235" s="62"/>
      <c r="E235" s="62"/>
      <c r="F235" s="62"/>
      <c r="G235" s="62"/>
      <c r="H235" s="62"/>
      <c r="I235" s="84"/>
      <c r="J235" s="84"/>
      <c r="K235" s="84"/>
      <c r="L235" s="61" t="str">
        <f t="shared" si="3"/>
        <v>NOT CONCLUSIVE</v>
      </c>
    </row>
    <row r="236" spans="2:12" x14ac:dyDescent="0.25">
      <c r="B236" s="59"/>
      <c r="C236" s="60"/>
      <c r="D236" s="62"/>
      <c r="E236" s="62"/>
      <c r="F236" s="62"/>
      <c r="G236" s="62"/>
      <c r="H236" s="62"/>
      <c r="I236" s="84"/>
      <c r="J236" s="84"/>
      <c r="K236" s="84"/>
      <c r="L236" s="61" t="str">
        <f t="shared" si="3"/>
        <v>NOT CONCLUSIVE</v>
      </c>
    </row>
    <row r="237" spans="2:12" x14ac:dyDescent="0.25">
      <c r="B237" s="59"/>
      <c r="C237" s="60"/>
      <c r="D237" s="62"/>
      <c r="E237" s="62"/>
      <c r="F237" s="62"/>
      <c r="G237" s="62"/>
      <c r="H237" s="62"/>
      <c r="I237" s="84"/>
      <c r="J237" s="84"/>
      <c r="K237" s="84"/>
      <c r="L237" s="61" t="str">
        <f t="shared" si="3"/>
        <v>NOT CONCLUSIVE</v>
      </c>
    </row>
    <row r="238" spans="2:12" x14ac:dyDescent="0.25">
      <c r="B238" s="59"/>
      <c r="C238" s="60"/>
      <c r="D238" s="62"/>
      <c r="E238" s="62"/>
      <c r="F238" s="62"/>
      <c r="G238" s="62"/>
      <c r="H238" s="62"/>
      <c r="I238" s="84"/>
      <c r="J238" s="84"/>
      <c r="K238" s="84"/>
      <c r="L238" s="61" t="str">
        <f t="shared" si="3"/>
        <v>NOT CONCLUSIVE</v>
      </c>
    </row>
    <row r="239" spans="2:12" x14ac:dyDescent="0.25">
      <c r="B239" s="59"/>
      <c r="C239" s="60"/>
      <c r="D239" s="62"/>
      <c r="E239" s="62"/>
      <c r="F239" s="62"/>
      <c r="G239" s="62"/>
      <c r="H239" s="62"/>
      <c r="I239" s="84"/>
      <c r="J239" s="84"/>
      <c r="K239" s="84"/>
      <c r="L239" s="61" t="str">
        <f t="shared" si="3"/>
        <v>NOT CONCLUSIVE</v>
      </c>
    </row>
    <row r="240" spans="2:12" x14ac:dyDescent="0.25">
      <c r="B240" s="59"/>
      <c r="C240" s="60"/>
      <c r="D240" s="62"/>
      <c r="E240" s="62"/>
      <c r="F240" s="62"/>
      <c r="G240" s="62"/>
      <c r="H240" s="62"/>
      <c r="I240" s="84"/>
      <c r="J240" s="84"/>
      <c r="K240" s="84"/>
      <c r="L240" s="61" t="str">
        <f t="shared" si="3"/>
        <v>NOT CONCLUSIVE</v>
      </c>
    </row>
    <row r="241" spans="2:12" x14ac:dyDescent="0.25">
      <c r="B241" s="59"/>
      <c r="C241" s="60"/>
      <c r="D241" s="62"/>
      <c r="E241" s="62"/>
      <c r="F241" s="62"/>
      <c r="G241" s="62"/>
      <c r="H241" s="62"/>
      <c r="I241" s="84"/>
      <c r="J241" s="84"/>
      <c r="K241" s="84"/>
      <c r="L241" s="61" t="str">
        <f t="shared" si="3"/>
        <v>NOT CONCLUSIVE</v>
      </c>
    </row>
    <row r="242" spans="2:12" x14ac:dyDescent="0.25">
      <c r="B242" s="59"/>
      <c r="C242" s="60"/>
      <c r="D242" s="62"/>
      <c r="E242" s="62"/>
      <c r="F242" s="62"/>
      <c r="G242" s="62"/>
      <c r="H242" s="62"/>
      <c r="I242" s="84"/>
      <c r="J242" s="84"/>
      <c r="K242" s="84"/>
      <c r="L242" s="61" t="str">
        <f t="shared" si="3"/>
        <v>NOT CONCLUSIVE</v>
      </c>
    </row>
    <row r="243" spans="2:12" x14ac:dyDescent="0.25">
      <c r="B243" s="59"/>
      <c r="C243" s="60"/>
      <c r="D243" s="62"/>
      <c r="E243" s="62"/>
      <c r="F243" s="62"/>
      <c r="G243" s="62"/>
      <c r="H243" s="62"/>
      <c r="I243" s="84"/>
      <c r="J243" s="84"/>
      <c r="K243" s="84"/>
      <c r="L243" s="61" t="str">
        <f t="shared" si="3"/>
        <v>NOT CONCLUSIVE</v>
      </c>
    </row>
    <row r="244" spans="2:12" x14ac:dyDescent="0.25">
      <c r="B244" s="59"/>
      <c r="C244" s="60"/>
      <c r="D244" s="62"/>
      <c r="E244" s="62"/>
      <c r="F244" s="62"/>
      <c r="G244" s="62"/>
      <c r="H244" s="62"/>
      <c r="I244" s="84"/>
      <c r="J244" s="84"/>
      <c r="K244" s="84"/>
      <c r="L244" s="61" t="str">
        <f t="shared" si="3"/>
        <v>NOT CONCLUSIVE</v>
      </c>
    </row>
    <row r="245" spans="2:12" x14ac:dyDescent="0.25">
      <c r="B245" s="59"/>
      <c r="C245" s="60"/>
      <c r="D245" s="62"/>
      <c r="E245" s="62"/>
      <c r="F245" s="62"/>
      <c r="G245" s="62"/>
      <c r="H245" s="62"/>
      <c r="I245" s="84"/>
      <c r="J245" s="84"/>
      <c r="K245" s="84"/>
      <c r="L245" s="61" t="str">
        <f t="shared" si="3"/>
        <v>NOT CONCLUSIVE</v>
      </c>
    </row>
    <row r="246" spans="2:12" x14ac:dyDescent="0.25">
      <c r="B246" s="59"/>
      <c r="C246" s="60"/>
      <c r="D246" s="62"/>
      <c r="E246" s="62"/>
      <c r="F246" s="62"/>
      <c r="G246" s="62"/>
      <c r="H246" s="62"/>
      <c r="I246" s="84"/>
      <c r="J246" s="84"/>
      <c r="K246" s="84"/>
      <c r="L246" s="61" t="str">
        <f t="shared" si="3"/>
        <v>NOT CONCLUSIVE</v>
      </c>
    </row>
    <row r="247" spans="2:12" x14ac:dyDescent="0.25">
      <c r="B247" s="59"/>
      <c r="C247" s="60"/>
      <c r="D247" s="62"/>
      <c r="E247" s="62"/>
      <c r="F247" s="62"/>
      <c r="G247" s="62"/>
      <c r="H247" s="62"/>
      <c r="I247" s="84"/>
      <c r="J247" s="84"/>
      <c r="K247" s="84"/>
      <c r="L247" s="61" t="str">
        <f t="shared" si="3"/>
        <v>NOT CONCLUSIVE</v>
      </c>
    </row>
    <row r="248" spans="2:12" x14ac:dyDescent="0.25">
      <c r="B248" s="59"/>
      <c r="C248" s="60"/>
      <c r="D248" s="62"/>
      <c r="E248" s="62"/>
      <c r="F248" s="62"/>
      <c r="G248" s="62"/>
      <c r="H248" s="62"/>
      <c r="I248" s="84"/>
      <c r="J248" s="84"/>
      <c r="K248" s="84"/>
      <c r="L248" s="61" t="str">
        <f t="shared" si="3"/>
        <v>NOT CONCLUSIVE</v>
      </c>
    </row>
    <row r="249" spans="2:12" x14ac:dyDescent="0.25">
      <c r="B249" s="59"/>
      <c r="C249" s="60"/>
      <c r="D249" s="62"/>
      <c r="E249" s="62"/>
      <c r="F249" s="62"/>
      <c r="G249" s="62"/>
      <c r="H249" s="62"/>
      <c r="I249" s="84"/>
      <c r="J249" s="84"/>
      <c r="K249" s="84"/>
      <c r="L249" s="61" t="str">
        <f t="shared" si="3"/>
        <v>NOT CONCLUSIVE</v>
      </c>
    </row>
    <row r="250" spans="2:12" x14ac:dyDescent="0.25">
      <c r="B250" s="59"/>
      <c r="C250" s="60"/>
      <c r="D250" s="62"/>
      <c r="E250" s="62"/>
      <c r="F250" s="62"/>
      <c r="G250" s="62"/>
      <c r="H250" s="62"/>
      <c r="I250" s="84"/>
      <c r="J250" s="84"/>
      <c r="K250" s="84"/>
      <c r="L250" s="61" t="str">
        <f t="shared" si="3"/>
        <v>NOT CONCLUSIVE</v>
      </c>
    </row>
    <row r="251" spans="2:12" x14ac:dyDescent="0.25">
      <c r="B251" s="59"/>
      <c r="C251" s="60"/>
      <c r="D251" s="62"/>
      <c r="E251" s="62"/>
      <c r="F251" s="62"/>
      <c r="G251" s="62"/>
      <c r="H251" s="62"/>
      <c r="I251" s="84"/>
      <c r="J251" s="84"/>
      <c r="K251" s="84"/>
      <c r="L251" s="61" t="str">
        <f t="shared" si="3"/>
        <v>NOT CONCLUSIVE</v>
      </c>
    </row>
    <row r="252" spans="2:12" x14ac:dyDescent="0.25">
      <c r="B252" s="59"/>
      <c r="C252" s="60"/>
      <c r="D252" s="62"/>
      <c r="E252" s="62"/>
      <c r="F252" s="62"/>
      <c r="G252" s="62"/>
      <c r="H252" s="62"/>
      <c r="I252" s="84"/>
      <c r="J252" s="84"/>
      <c r="K252" s="84"/>
      <c r="L252" s="61" t="str">
        <f t="shared" si="3"/>
        <v>NOT CONCLUSIVE</v>
      </c>
    </row>
    <row r="253" spans="2:12" x14ac:dyDescent="0.25">
      <c r="B253" s="59"/>
      <c r="C253" s="60"/>
      <c r="D253" s="62"/>
      <c r="E253" s="62"/>
      <c r="F253" s="62"/>
      <c r="G253" s="62"/>
      <c r="H253" s="62"/>
      <c r="I253" s="84"/>
      <c r="J253" s="84"/>
      <c r="K253" s="84"/>
      <c r="L253" s="61" t="str">
        <f t="shared" si="3"/>
        <v>NOT CONCLUSIVE</v>
      </c>
    </row>
    <row r="254" spans="2:12" x14ac:dyDescent="0.25">
      <c r="B254" s="59"/>
      <c r="C254" s="60"/>
      <c r="D254" s="62"/>
      <c r="E254" s="62"/>
      <c r="F254" s="62"/>
      <c r="G254" s="62"/>
      <c r="H254" s="62"/>
      <c r="I254" s="84"/>
      <c r="J254" s="84"/>
      <c r="K254" s="84"/>
      <c r="L254" s="61" t="str">
        <f t="shared" si="3"/>
        <v>NOT CONCLUSIVE</v>
      </c>
    </row>
    <row r="255" spans="2:12" x14ac:dyDescent="0.25">
      <c r="B255" s="59"/>
      <c r="C255" s="60"/>
      <c r="D255" s="62"/>
      <c r="E255" s="62"/>
      <c r="F255" s="62"/>
      <c r="G255" s="62"/>
      <c r="H255" s="62"/>
      <c r="I255" s="84"/>
      <c r="J255" s="84"/>
      <c r="K255" s="84"/>
      <c r="L255" s="61" t="str">
        <f t="shared" si="3"/>
        <v>NOT CONCLUSIVE</v>
      </c>
    </row>
    <row r="256" spans="2:12" x14ac:dyDescent="0.25">
      <c r="B256" s="59"/>
      <c r="C256" s="60"/>
      <c r="D256" s="62"/>
      <c r="E256" s="62"/>
      <c r="F256" s="62"/>
      <c r="G256" s="62"/>
      <c r="H256" s="62"/>
      <c r="I256" s="84"/>
      <c r="J256" s="84"/>
      <c r="K256" s="84"/>
      <c r="L256" s="61" t="str">
        <f t="shared" si="3"/>
        <v>NOT CONCLUSIVE</v>
      </c>
    </row>
    <row r="257" spans="2:12" x14ac:dyDescent="0.25">
      <c r="B257" s="59"/>
      <c r="C257" s="60"/>
      <c r="D257" s="62"/>
      <c r="E257" s="62"/>
      <c r="F257" s="62"/>
      <c r="G257" s="62"/>
      <c r="H257" s="62"/>
      <c r="I257" s="84"/>
      <c r="J257" s="84"/>
      <c r="K257" s="84"/>
      <c r="L257" s="61" t="str">
        <f t="shared" si="3"/>
        <v>NOT CONCLUSIVE</v>
      </c>
    </row>
    <row r="258" spans="2:12" x14ac:dyDescent="0.25">
      <c r="B258" s="59"/>
      <c r="C258" s="60"/>
      <c r="D258" s="62"/>
      <c r="E258" s="62"/>
      <c r="F258" s="62"/>
      <c r="G258" s="62"/>
      <c r="H258" s="62"/>
      <c r="I258" s="84"/>
      <c r="J258" s="84"/>
      <c r="K258" s="84"/>
      <c r="L258" s="61" t="str">
        <f t="shared" si="3"/>
        <v>NOT CONCLUSIVE</v>
      </c>
    </row>
    <row r="259" spans="2:12" x14ac:dyDescent="0.25">
      <c r="B259" s="59"/>
      <c r="C259" s="60"/>
      <c r="D259" s="62"/>
      <c r="E259" s="62"/>
      <c r="F259" s="62"/>
      <c r="G259" s="62"/>
      <c r="H259" s="62"/>
      <c r="I259" s="84"/>
      <c r="J259" s="84"/>
      <c r="K259" s="84"/>
      <c r="L259" s="61" t="str">
        <f t="shared" si="3"/>
        <v>NOT CONCLUSIVE</v>
      </c>
    </row>
    <row r="260" spans="2:12" x14ac:dyDescent="0.25">
      <c r="B260" s="59"/>
      <c r="C260" s="60"/>
      <c r="D260" s="62"/>
      <c r="E260" s="62"/>
      <c r="F260" s="62"/>
      <c r="G260" s="62"/>
      <c r="H260" s="62"/>
      <c r="I260" s="84"/>
      <c r="J260" s="84"/>
      <c r="K260" s="84"/>
      <c r="L260" s="61" t="str">
        <f t="shared" ref="L260:L300" si="4">IF(D260&gt;E260,"BEARISH",IF(D260&lt;E260,"BULLISH","NOT CONCLUSIVE"))</f>
        <v>NOT CONCLUSIVE</v>
      </c>
    </row>
    <row r="261" spans="2:12" x14ac:dyDescent="0.25">
      <c r="B261" s="59"/>
      <c r="C261" s="60"/>
      <c r="D261" s="62"/>
      <c r="E261" s="62"/>
      <c r="F261" s="62"/>
      <c r="G261" s="62"/>
      <c r="H261" s="62"/>
      <c r="I261" s="84"/>
      <c r="J261" s="84"/>
      <c r="K261" s="84"/>
      <c r="L261" s="61" t="str">
        <f t="shared" si="4"/>
        <v>NOT CONCLUSIVE</v>
      </c>
    </row>
    <row r="262" spans="2:12" x14ac:dyDescent="0.25">
      <c r="B262" s="59"/>
      <c r="C262" s="60"/>
      <c r="D262" s="62"/>
      <c r="E262" s="62"/>
      <c r="F262" s="62"/>
      <c r="G262" s="62"/>
      <c r="H262" s="62"/>
      <c r="I262" s="84"/>
      <c r="J262" s="84"/>
      <c r="K262" s="84"/>
      <c r="L262" s="61" t="str">
        <f t="shared" si="4"/>
        <v>NOT CONCLUSIVE</v>
      </c>
    </row>
    <row r="263" spans="2:12" x14ac:dyDescent="0.25">
      <c r="B263" s="59"/>
      <c r="C263" s="60"/>
      <c r="D263" s="62"/>
      <c r="E263" s="62"/>
      <c r="F263" s="62"/>
      <c r="G263" s="62"/>
      <c r="H263" s="62"/>
      <c r="I263" s="84"/>
      <c r="J263" s="84"/>
      <c r="K263" s="84"/>
      <c r="L263" s="61" t="str">
        <f t="shared" si="4"/>
        <v>NOT CONCLUSIVE</v>
      </c>
    </row>
    <row r="264" spans="2:12" x14ac:dyDescent="0.25">
      <c r="B264" s="59"/>
      <c r="C264" s="60"/>
      <c r="D264" s="62"/>
      <c r="E264" s="62"/>
      <c r="F264" s="62"/>
      <c r="G264" s="62"/>
      <c r="H264" s="62"/>
      <c r="I264" s="84"/>
      <c r="J264" s="84"/>
      <c r="K264" s="84"/>
      <c r="L264" s="61" t="str">
        <f t="shared" si="4"/>
        <v>NOT CONCLUSIVE</v>
      </c>
    </row>
    <row r="265" spans="2:12" x14ac:dyDescent="0.25">
      <c r="B265" s="59"/>
      <c r="C265" s="60"/>
      <c r="D265" s="62"/>
      <c r="E265" s="62"/>
      <c r="F265" s="62"/>
      <c r="G265" s="62"/>
      <c r="H265" s="62"/>
      <c r="I265" s="84"/>
      <c r="J265" s="84"/>
      <c r="K265" s="84"/>
      <c r="L265" s="61" t="str">
        <f t="shared" si="4"/>
        <v>NOT CONCLUSIVE</v>
      </c>
    </row>
    <row r="266" spans="2:12" x14ac:dyDescent="0.25">
      <c r="B266" s="59"/>
      <c r="C266" s="60"/>
      <c r="D266" s="62"/>
      <c r="E266" s="62"/>
      <c r="F266" s="62"/>
      <c r="G266" s="62"/>
      <c r="H266" s="62"/>
      <c r="I266" s="84"/>
      <c r="J266" s="84"/>
      <c r="K266" s="84"/>
      <c r="L266" s="61" t="str">
        <f t="shared" si="4"/>
        <v>NOT CONCLUSIVE</v>
      </c>
    </row>
    <row r="267" spans="2:12" x14ac:dyDescent="0.25">
      <c r="B267" s="59"/>
      <c r="C267" s="60"/>
      <c r="D267" s="62"/>
      <c r="E267" s="62"/>
      <c r="F267" s="62"/>
      <c r="G267" s="62"/>
      <c r="H267" s="62"/>
      <c r="I267" s="84"/>
      <c r="J267" s="84"/>
      <c r="K267" s="84"/>
      <c r="L267" s="61" t="str">
        <f t="shared" si="4"/>
        <v>NOT CONCLUSIVE</v>
      </c>
    </row>
    <row r="268" spans="2:12" x14ac:dyDescent="0.25">
      <c r="B268" s="59"/>
      <c r="C268" s="60"/>
      <c r="D268" s="62"/>
      <c r="E268" s="62"/>
      <c r="F268" s="62"/>
      <c r="G268" s="62"/>
      <c r="H268" s="62"/>
      <c r="I268" s="84"/>
      <c r="J268" s="84"/>
      <c r="K268" s="84"/>
      <c r="L268" s="61" t="str">
        <f t="shared" si="4"/>
        <v>NOT CONCLUSIVE</v>
      </c>
    </row>
    <row r="269" spans="2:12" x14ac:dyDescent="0.25">
      <c r="B269" s="59"/>
      <c r="C269" s="60"/>
      <c r="D269" s="62"/>
      <c r="E269" s="62"/>
      <c r="F269" s="62"/>
      <c r="G269" s="62"/>
      <c r="H269" s="62"/>
      <c r="I269" s="84"/>
      <c r="J269" s="84"/>
      <c r="K269" s="84"/>
      <c r="L269" s="61" t="str">
        <f t="shared" si="4"/>
        <v>NOT CONCLUSIVE</v>
      </c>
    </row>
    <row r="270" spans="2:12" x14ac:dyDescent="0.25">
      <c r="B270" s="59"/>
      <c r="C270" s="60"/>
      <c r="D270" s="62"/>
      <c r="E270" s="62"/>
      <c r="F270" s="62"/>
      <c r="G270" s="62"/>
      <c r="H270" s="62"/>
      <c r="I270" s="84"/>
      <c r="J270" s="84"/>
      <c r="K270" s="84"/>
      <c r="L270" s="61" t="str">
        <f t="shared" si="4"/>
        <v>NOT CONCLUSIVE</v>
      </c>
    </row>
    <row r="271" spans="2:12" x14ac:dyDescent="0.25">
      <c r="B271" s="59"/>
      <c r="C271" s="60"/>
      <c r="D271" s="62"/>
      <c r="E271" s="62"/>
      <c r="F271" s="62"/>
      <c r="G271" s="62"/>
      <c r="H271" s="62"/>
      <c r="I271" s="84"/>
      <c r="J271" s="84"/>
      <c r="K271" s="84"/>
      <c r="L271" s="61" t="str">
        <f t="shared" si="4"/>
        <v>NOT CONCLUSIVE</v>
      </c>
    </row>
    <row r="272" spans="2:12" x14ac:dyDescent="0.25">
      <c r="B272" s="59"/>
      <c r="C272" s="60"/>
      <c r="D272" s="62"/>
      <c r="E272" s="62"/>
      <c r="F272" s="62"/>
      <c r="G272" s="62"/>
      <c r="H272" s="62"/>
      <c r="I272" s="84"/>
      <c r="J272" s="84"/>
      <c r="K272" s="84"/>
      <c r="L272" s="61" t="str">
        <f t="shared" si="4"/>
        <v>NOT CONCLUSIVE</v>
      </c>
    </row>
    <row r="273" spans="2:12" x14ac:dyDescent="0.25">
      <c r="B273" s="59"/>
      <c r="C273" s="60"/>
      <c r="D273" s="62"/>
      <c r="E273" s="62"/>
      <c r="F273" s="62"/>
      <c r="G273" s="62"/>
      <c r="H273" s="62"/>
      <c r="I273" s="84"/>
      <c r="J273" s="84"/>
      <c r="K273" s="84"/>
      <c r="L273" s="61" t="str">
        <f t="shared" si="4"/>
        <v>NOT CONCLUSIVE</v>
      </c>
    </row>
    <row r="274" spans="2:12" x14ac:dyDescent="0.25">
      <c r="B274" s="59"/>
      <c r="C274" s="60"/>
      <c r="D274" s="62"/>
      <c r="E274" s="62"/>
      <c r="F274" s="62"/>
      <c r="G274" s="62"/>
      <c r="H274" s="62"/>
      <c r="I274" s="84"/>
      <c r="J274" s="84"/>
      <c r="K274" s="84"/>
      <c r="L274" s="61" t="str">
        <f t="shared" si="4"/>
        <v>NOT CONCLUSIVE</v>
      </c>
    </row>
    <row r="275" spans="2:12" x14ac:dyDescent="0.25">
      <c r="B275" s="59"/>
      <c r="C275" s="60"/>
      <c r="D275" s="62"/>
      <c r="E275" s="62"/>
      <c r="F275" s="62"/>
      <c r="G275" s="62"/>
      <c r="H275" s="62"/>
      <c r="I275" s="84"/>
      <c r="J275" s="84"/>
      <c r="K275" s="84"/>
      <c r="L275" s="61" t="str">
        <f t="shared" si="4"/>
        <v>NOT CONCLUSIVE</v>
      </c>
    </row>
    <row r="276" spans="2:12" x14ac:dyDescent="0.25">
      <c r="B276" s="59"/>
      <c r="C276" s="60"/>
      <c r="D276" s="62"/>
      <c r="E276" s="62"/>
      <c r="F276" s="62"/>
      <c r="G276" s="62"/>
      <c r="H276" s="62"/>
      <c r="I276" s="84"/>
      <c r="J276" s="84"/>
      <c r="K276" s="84"/>
      <c r="L276" s="61" t="str">
        <f t="shared" si="4"/>
        <v>NOT CONCLUSIVE</v>
      </c>
    </row>
    <row r="277" spans="2:12" x14ac:dyDescent="0.25">
      <c r="B277" s="59"/>
      <c r="C277" s="60"/>
      <c r="D277" s="62"/>
      <c r="E277" s="62"/>
      <c r="F277" s="62"/>
      <c r="G277" s="62"/>
      <c r="H277" s="62"/>
      <c r="I277" s="84"/>
      <c r="J277" s="84"/>
      <c r="K277" s="84"/>
      <c r="L277" s="61" t="str">
        <f t="shared" si="4"/>
        <v>NOT CONCLUSIVE</v>
      </c>
    </row>
    <row r="278" spans="2:12" x14ac:dyDescent="0.25">
      <c r="B278" s="59"/>
      <c r="C278" s="60"/>
      <c r="D278" s="62"/>
      <c r="E278" s="62"/>
      <c r="F278" s="62"/>
      <c r="G278" s="62"/>
      <c r="H278" s="62"/>
      <c r="I278" s="84"/>
      <c r="J278" s="84"/>
      <c r="K278" s="84"/>
      <c r="L278" s="61" t="str">
        <f t="shared" si="4"/>
        <v>NOT CONCLUSIVE</v>
      </c>
    </row>
    <row r="279" spans="2:12" x14ac:dyDescent="0.25">
      <c r="B279" s="59"/>
      <c r="C279" s="60"/>
      <c r="D279" s="62"/>
      <c r="E279" s="62"/>
      <c r="F279" s="62"/>
      <c r="G279" s="62"/>
      <c r="H279" s="62"/>
      <c r="I279" s="84"/>
      <c r="J279" s="84"/>
      <c r="K279" s="84"/>
      <c r="L279" s="61" t="str">
        <f t="shared" si="4"/>
        <v>NOT CONCLUSIVE</v>
      </c>
    </row>
    <row r="280" spans="2:12" x14ac:dyDescent="0.25">
      <c r="B280" s="59"/>
      <c r="C280" s="60"/>
      <c r="D280" s="62"/>
      <c r="E280" s="62"/>
      <c r="F280" s="62"/>
      <c r="G280" s="62"/>
      <c r="H280" s="62"/>
      <c r="I280" s="84"/>
      <c r="J280" s="84"/>
      <c r="K280" s="84"/>
      <c r="L280" s="61" t="str">
        <f t="shared" si="4"/>
        <v>NOT CONCLUSIVE</v>
      </c>
    </row>
    <row r="281" spans="2:12" x14ac:dyDescent="0.25">
      <c r="B281" s="59"/>
      <c r="C281" s="60"/>
      <c r="D281" s="62"/>
      <c r="E281" s="62"/>
      <c r="F281" s="62"/>
      <c r="G281" s="62"/>
      <c r="H281" s="62"/>
      <c r="I281" s="84"/>
      <c r="J281" s="84"/>
      <c r="K281" s="84"/>
      <c r="L281" s="61" t="str">
        <f t="shared" si="4"/>
        <v>NOT CONCLUSIVE</v>
      </c>
    </row>
    <row r="282" spans="2:12" x14ac:dyDescent="0.25">
      <c r="B282" s="59"/>
      <c r="C282" s="60"/>
      <c r="D282" s="62"/>
      <c r="E282" s="62"/>
      <c r="F282" s="62"/>
      <c r="G282" s="62"/>
      <c r="H282" s="62"/>
      <c r="I282" s="84"/>
      <c r="J282" s="84"/>
      <c r="K282" s="84"/>
      <c r="L282" s="61" t="str">
        <f t="shared" si="4"/>
        <v>NOT CONCLUSIVE</v>
      </c>
    </row>
    <row r="283" spans="2:12" x14ac:dyDescent="0.25">
      <c r="B283" s="59"/>
      <c r="C283" s="60"/>
      <c r="D283" s="62"/>
      <c r="E283" s="62"/>
      <c r="F283" s="62"/>
      <c r="G283" s="62"/>
      <c r="H283" s="62"/>
      <c r="I283" s="84"/>
      <c r="J283" s="84"/>
      <c r="K283" s="84"/>
      <c r="L283" s="61" t="str">
        <f t="shared" si="4"/>
        <v>NOT CONCLUSIVE</v>
      </c>
    </row>
    <row r="284" spans="2:12" x14ac:dyDescent="0.25">
      <c r="B284" s="59"/>
      <c r="C284" s="60"/>
      <c r="D284" s="62"/>
      <c r="E284" s="62"/>
      <c r="F284" s="62"/>
      <c r="G284" s="62"/>
      <c r="H284" s="62"/>
      <c r="I284" s="84"/>
      <c r="J284" s="84"/>
      <c r="K284" s="84"/>
      <c r="L284" s="61" t="str">
        <f t="shared" si="4"/>
        <v>NOT CONCLUSIVE</v>
      </c>
    </row>
    <row r="285" spans="2:12" x14ac:dyDescent="0.25">
      <c r="B285" s="59"/>
      <c r="C285" s="60"/>
      <c r="D285" s="62"/>
      <c r="E285" s="62"/>
      <c r="F285" s="62"/>
      <c r="G285" s="62"/>
      <c r="H285" s="62"/>
      <c r="I285" s="84"/>
      <c r="J285" s="84"/>
      <c r="K285" s="84"/>
      <c r="L285" s="61" t="str">
        <f t="shared" si="4"/>
        <v>NOT CONCLUSIVE</v>
      </c>
    </row>
    <row r="286" spans="2:12" x14ac:dyDescent="0.25">
      <c r="B286" s="59"/>
      <c r="C286" s="60"/>
      <c r="D286" s="62"/>
      <c r="E286" s="62"/>
      <c r="F286" s="62"/>
      <c r="G286" s="62"/>
      <c r="H286" s="62"/>
      <c r="I286" s="84"/>
      <c r="J286" s="84"/>
      <c r="K286" s="84"/>
      <c r="L286" s="61" t="str">
        <f t="shared" si="4"/>
        <v>NOT CONCLUSIVE</v>
      </c>
    </row>
    <row r="287" spans="2:12" x14ac:dyDescent="0.25">
      <c r="B287" s="59"/>
      <c r="C287" s="60"/>
      <c r="D287" s="62"/>
      <c r="E287" s="62"/>
      <c r="F287" s="62"/>
      <c r="G287" s="62"/>
      <c r="H287" s="62"/>
      <c r="I287" s="84"/>
      <c r="J287" s="84"/>
      <c r="K287" s="84"/>
      <c r="L287" s="61" t="str">
        <f t="shared" si="4"/>
        <v>NOT CONCLUSIVE</v>
      </c>
    </row>
    <row r="288" spans="2:12" x14ac:dyDescent="0.25">
      <c r="B288" s="59"/>
      <c r="C288" s="60"/>
      <c r="D288" s="62"/>
      <c r="E288" s="62"/>
      <c r="F288" s="62"/>
      <c r="G288" s="62"/>
      <c r="H288" s="62"/>
      <c r="I288" s="84"/>
      <c r="J288" s="84"/>
      <c r="K288" s="84"/>
      <c r="L288" s="61" t="str">
        <f t="shared" si="4"/>
        <v>NOT CONCLUSIVE</v>
      </c>
    </row>
    <row r="289" spans="2:12" x14ac:dyDescent="0.25">
      <c r="B289" s="59"/>
      <c r="C289" s="60"/>
      <c r="D289" s="62"/>
      <c r="E289" s="62"/>
      <c r="F289" s="62"/>
      <c r="G289" s="62"/>
      <c r="H289" s="62"/>
      <c r="I289" s="84"/>
      <c r="J289" s="84"/>
      <c r="K289" s="84"/>
      <c r="L289" s="61" t="str">
        <f t="shared" si="4"/>
        <v>NOT CONCLUSIVE</v>
      </c>
    </row>
    <row r="290" spans="2:12" x14ac:dyDescent="0.25">
      <c r="B290" s="59"/>
      <c r="C290" s="60"/>
      <c r="D290" s="62"/>
      <c r="E290" s="62"/>
      <c r="F290" s="62"/>
      <c r="G290" s="62"/>
      <c r="H290" s="62"/>
      <c r="I290" s="84"/>
      <c r="J290" s="84"/>
      <c r="K290" s="84"/>
      <c r="L290" s="61" t="str">
        <f t="shared" si="4"/>
        <v>NOT CONCLUSIVE</v>
      </c>
    </row>
    <row r="291" spans="2:12" x14ac:dyDescent="0.25">
      <c r="B291" s="59"/>
      <c r="C291" s="60"/>
      <c r="D291" s="62"/>
      <c r="E291" s="62"/>
      <c r="F291" s="62"/>
      <c r="G291" s="62"/>
      <c r="H291" s="62"/>
      <c r="I291" s="84"/>
      <c r="J291" s="84"/>
      <c r="K291" s="84"/>
      <c r="L291" s="61" t="str">
        <f t="shared" si="4"/>
        <v>NOT CONCLUSIVE</v>
      </c>
    </row>
    <row r="292" spans="2:12" x14ac:dyDescent="0.25">
      <c r="B292" s="59"/>
      <c r="C292" s="60"/>
      <c r="D292" s="62"/>
      <c r="E292" s="62"/>
      <c r="F292" s="62"/>
      <c r="G292" s="62"/>
      <c r="H292" s="62"/>
      <c r="I292" s="84"/>
      <c r="J292" s="84"/>
      <c r="K292" s="84"/>
      <c r="L292" s="61" t="str">
        <f t="shared" si="4"/>
        <v>NOT CONCLUSIVE</v>
      </c>
    </row>
    <row r="293" spans="2:12" x14ac:dyDescent="0.25">
      <c r="B293" s="59"/>
      <c r="C293" s="60"/>
      <c r="D293" s="62"/>
      <c r="E293" s="62"/>
      <c r="F293" s="62"/>
      <c r="G293" s="62"/>
      <c r="H293" s="62"/>
      <c r="I293" s="84"/>
      <c r="J293" s="84"/>
      <c r="K293" s="84"/>
      <c r="L293" s="61" t="str">
        <f t="shared" si="4"/>
        <v>NOT CONCLUSIVE</v>
      </c>
    </row>
    <row r="294" spans="2:12" x14ac:dyDescent="0.25">
      <c r="B294" s="59"/>
      <c r="C294" s="60"/>
      <c r="D294" s="62"/>
      <c r="E294" s="62"/>
      <c r="F294" s="62"/>
      <c r="G294" s="62"/>
      <c r="H294" s="62"/>
      <c r="I294" s="84"/>
      <c r="J294" s="84"/>
      <c r="K294" s="84"/>
      <c r="L294" s="61" t="str">
        <f t="shared" si="4"/>
        <v>NOT CONCLUSIVE</v>
      </c>
    </row>
    <row r="295" spans="2:12" x14ac:dyDescent="0.25">
      <c r="B295" s="59"/>
      <c r="C295" s="60"/>
      <c r="D295" s="62"/>
      <c r="E295" s="62"/>
      <c r="F295" s="62"/>
      <c r="G295" s="62"/>
      <c r="H295" s="62"/>
      <c r="I295" s="84"/>
      <c r="J295" s="84"/>
      <c r="K295" s="84"/>
      <c r="L295" s="61" t="str">
        <f t="shared" si="4"/>
        <v>NOT CONCLUSIVE</v>
      </c>
    </row>
    <row r="296" spans="2:12" x14ac:dyDescent="0.25">
      <c r="B296" s="59"/>
      <c r="C296" s="60"/>
      <c r="D296" s="62"/>
      <c r="E296" s="62"/>
      <c r="F296" s="62"/>
      <c r="G296" s="62"/>
      <c r="H296" s="62"/>
      <c r="I296" s="84"/>
      <c r="J296" s="84"/>
      <c r="K296" s="84"/>
      <c r="L296" s="61" t="str">
        <f t="shared" si="4"/>
        <v>NOT CONCLUSIVE</v>
      </c>
    </row>
    <row r="297" spans="2:12" x14ac:dyDescent="0.25">
      <c r="B297" s="59"/>
      <c r="C297" s="60"/>
      <c r="D297" s="62"/>
      <c r="E297" s="62"/>
      <c r="F297" s="62"/>
      <c r="G297" s="62"/>
      <c r="H297" s="62"/>
      <c r="I297" s="84"/>
      <c r="J297" s="84"/>
      <c r="K297" s="84"/>
      <c r="L297" s="61" t="str">
        <f t="shared" si="4"/>
        <v>NOT CONCLUSIVE</v>
      </c>
    </row>
    <row r="298" spans="2:12" x14ac:dyDescent="0.25">
      <c r="B298" s="59"/>
      <c r="C298" s="60"/>
      <c r="D298" s="62"/>
      <c r="E298" s="62"/>
      <c r="F298" s="62"/>
      <c r="G298" s="62"/>
      <c r="H298" s="62"/>
      <c r="I298" s="84"/>
      <c r="J298" s="84"/>
      <c r="K298" s="84"/>
      <c r="L298" s="61" t="str">
        <f t="shared" si="4"/>
        <v>NOT CONCLUSIVE</v>
      </c>
    </row>
    <row r="299" spans="2:12" x14ac:dyDescent="0.25">
      <c r="B299" s="59"/>
      <c r="C299" s="60"/>
      <c r="D299" s="62"/>
      <c r="E299" s="62"/>
      <c r="F299" s="62"/>
      <c r="G299" s="62"/>
      <c r="H299" s="62"/>
      <c r="I299" s="84"/>
      <c r="J299" s="84"/>
      <c r="K299" s="84"/>
      <c r="L299" s="61" t="str">
        <f t="shared" si="4"/>
        <v>NOT CONCLUSIVE</v>
      </c>
    </row>
    <row r="300" spans="2:12" x14ac:dyDescent="0.25">
      <c r="B300" s="59"/>
      <c r="C300" s="60"/>
      <c r="D300" s="62"/>
      <c r="E300" s="62"/>
      <c r="F300" s="62"/>
      <c r="G300" s="62"/>
      <c r="H300" s="62"/>
      <c r="I300" s="84"/>
      <c r="J300" s="84"/>
      <c r="K300" s="84"/>
      <c r="L300" s="61" t="str">
        <f t="shared" si="4"/>
        <v>NOT CONCLUSIVE</v>
      </c>
    </row>
  </sheetData>
  <conditionalFormatting sqref="L3:L300">
    <cfRule type="cellIs" dxfId="47" priority="2" operator="equal">
      <formula>"BULLISH"</formula>
    </cfRule>
    <cfRule type="cellIs" dxfId="46" priority="3" operator="equal">
      <formula>"BEARISH"</formula>
    </cfRule>
  </conditionalFormatting>
  <conditionalFormatting sqref="L4:L300">
    <cfRule type="cellIs" dxfId="45" priority="1" operator="equal">
      <formula>"NOT CONCLUSIVE"</formula>
    </cfRule>
  </conditionalFormatting>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Q118"/>
  <sheetViews>
    <sheetView showGridLines="0" workbookViewId="0">
      <selection activeCell="D2" sqref="D2"/>
    </sheetView>
  </sheetViews>
  <sheetFormatPr defaultRowHeight="15" x14ac:dyDescent="0.25"/>
  <cols>
    <col min="1" max="1" width="9.140625" style="5"/>
    <col min="2" max="2" width="21.42578125" style="5" customWidth="1"/>
    <col min="3" max="3" width="21.7109375" style="5" customWidth="1"/>
    <col min="4" max="4" width="19.85546875" style="5" customWidth="1"/>
    <col min="5" max="5" width="28.42578125" style="5" customWidth="1"/>
    <col min="6" max="6" width="25.7109375" style="5" customWidth="1"/>
    <col min="7" max="7" width="23.28515625" style="5" customWidth="1"/>
    <col min="8" max="8" width="15.7109375" style="5" customWidth="1"/>
    <col min="9" max="9" width="14.28515625" style="5" customWidth="1"/>
    <col min="10" max="10" width="19.140625" style="5" customWidth="1"/>
    <col min="11" max="11" width="27.85546875" style="5" customWidth="1"/>
    <col min="12" max="12" width="25.140625" style="5" customWidth="1"/>
    <col min="13" max="13" width="22.7109375" style="5" customWidth="1"/>
    <col min="14" max="14" width="15" style="5" customWidth="1"/>
    <col min="15" max="15" width="13.7109375" style="5" customWidth="1"/>
    <col min="16" max="16" width="22.42578125" style="5" customWidth="1"/>
    <col min="17" max="17" width="17.140625" style="5" customWidth="1"/>
    <col min="18" max="16384" width="9.140625" style="5"/>
  </cols>
  <sheetData>
    <row r="1" spans="2:17" x14ac:dyDescent="0.25">
      <c r="B1" s="25" t="s">
        <v>16</v>
      </c>
      <c r="C1" s="26" t="s">
        <v>32</v>
      </c>
      <c r="D1" s="26" t="s">
        <v>49</v>
      </c>
      <c r="E1" s="26" t="s">
        <v>205</v>
      </c>
    </row>
    <row r="2" spans="2:17" x14ac:dyDescent="0.25">
      <c r="B2" s="25">
        <f>P6</f>
        <v>39042.300000000003</v>
      </c>
      <c r="C2" s="26">
        <f>B7-B6</f>
        <v>500</v>
      </c>
      <c r="D2" s="26" t="str">
        <f>C6</f>
        <v>18-Aug-2022</v>
      </c>
      <c r="E2" s="26" t="str">
        <f>Q6</f>
        <v>BANKNIFTY</v>
      </c>
    </row>
    <row r="5" spans="2:17" x14ac:dyDescent="0.25">
      <c r="B5" s="6" t="s">
        <v>17</v>
      </c>
      <c r="C5" s="6" t="s">
        <v>18</v>
      </c>
      <c r="D5" s="6" t="s">
        <v>19</v>
      </c>
      <c r="E5" s="6" t="s">
        <v>20</v>
      </c>
      <c r="F5" s="6" t="s">
        <v>21</v>
      </c>
      <c r="G5" s="6" t="s">
        <v>22</v>
      </c>
      <c r="H5" s="6" t="s">
        <v>23</v>
      </c>
      <c r="I5" s="6" t="s">
        <v>24</v>
      </c>
      <c r="J5" s="6" t="s">
        <v>25</v>
      </c>
      <c r="K5" s="6" t="s">
        <v>26</v>
      </c>
      <c r="L5" s="6" t="s">
        <v>27</v>
      </c>
      <c r="M5" s="6" t="s">
        <v>28</v>
      </c>
      <c r="N5" s="6" t="s">
        <v>29</v>
      </c>
      <c r="O5" s="6" t="s">
        <v>30</v>
      </c>
      <c r="P5" s="6" t="s">
        <v>31</v>
      </c>
      <c r="Q5" s="6" t="s">
        <v>204</v>
      </c>
    </row>
    <row r="6" spans="2:17" x14ac:dyDescent="0.25">
      <c r="B6" s="6">
        <v>29500</v>
      </c>
      <c r="C6" s="6" t="s">
        <v>237</v>
      </c>
      <c r="D6" s="6">
        <v>0</v>
      </c>
      <c r="E6" s="6">
        <v>0</v>
      </c>
      <c r="F6" s="6">
        <v>0</v>
      </c>
      <c r="G6" s="6">
        <v>0</v>
      </c>
      <c r="H6" s="6">
        <v>0</v>
      </c>
      <c r="I6" s="6">
        <v>0</v>
      </c>
      <c r="J6" s="6">
        <v>19147</v>
      </c>
      <c r="K6" s="6">
        <v>15917</v>
      </c>
      <c r="L6" s="6">
        <v>116966</v>
      </c>
      <c r="M6" s="6">
        <v>76.069999999999993</v>
      </c>
      <c r="N6" s="6">
        <v>1.85</v>
      </c>
      <c r="O6" s="6">
        <v>-0.35000000000000009</v>
      </c>
      <c r="P6" s="6">
        <v>39042.300000000003</v>
      </c>
      <c r="Q6" s="6" t="s">
        <v>52</v>
      </c>
    </row>
    <row r="7" spans="2:17" x14ac:dyDescent="0.25">
      <c r="B7" s="6">
        <v>30000</v>
      </c>
      <c r="C7" s="6" t="s">
        <v>237</v>
      </c>
      <c r="D7" s="6">
        <v>0</v>
      </c>
      <c r="E7" s="6">
        <v>0</v>
      </c>
      <c r="F7" s="6">
        <v>0</v>
      </c>
      <c r="G7" s="6">
        <v>0</v>
      </c>
      <c r="H7" s="6">
        <v>0</v>
      </c>
      <c r="I7" s="6">
        <v>0</v>
      </c>
      <c r="J7" s="6">
        <v>3485</v>
      </c>
      <c r="K7" s="6">
        <v>2920</v>
      </c>
      <c r="L7" s="6">
        <v>17626</v>
      </c>
      <c r="M7" s="6">
        <v>71.89</v>
      </c>
      <c r="N7" s="6">
        <v>1.85</v>
      </c>
      <c r="O7" s="6">
        <v>-0.44999999999999973</v>
      </c>
      <c r="P7" s="6">
        <v>39042.300000000003</v>
      </c>
      <c r="Q7" s="6" t="s">
        <v>52</v>
      </c>
    </row>
    <row r="8" spans="2:17" x14ac:dyDescent="0.25">
      <c r="B8" s="6">
        <v>30500</v>
      </c>
      <c r="C8" s="6" t="s">
        <v>237</v>
      </c>
      <c r="D8" s="6">
        <v>0</v>
      </c>
      <c r="E8" s="6">
        <v>0</v>
      </c>
      <c r="F8" s="6">
        <v>0</v>
      </c>
      <c r="G8" s="6">
        <v>0</v>
      </c>
      <c r="H8" s="6">
        <v>0</v>
      </c>
      <c r="I8" s="6">
        <v>0</v>
      </c>
      <c r="J8" s="6">
        <v>922</v>
      </c>
      <c r="K8" s="6">
        <v>870</v>
      </c>
      <c r="L8" s="6">
        <v>4405</v>
      </c>
      <c r="M8" s="6">
        <v>69.02</v>
      </c>
      <c r="N8" s="6">
        <v>2.25</v>
      </c>
      <c r="O8" s="6">
        <v>0</v>
      </c>
      <c r="P8" s="6">
        <v>39042.300000000003</v>
      </c>
      <c r="Q8" s="6" t="s">
        <v>52</v>
      </c>
    </row>
    <row r="9" spans="2:17" x14ac:dyDescent="0.25">
      <c r="B9" s="6">
        <v>30700</v>
      </c>
      <c r="C9" s="6" t="s">
        <v>237</v>
      </c>
      <c r="D9" s="6">
        <v>0</v>
      </c>
      <c r="E9" s="6">
        <v>0</v>
      </c>
      <c r="F9" s="6">
        <v>0</v>
      </c>
      <c r="G9" s="6">
        <v>0</v>
      </c>
      <c r="H9" s="6">
        <v>0</v>
      </c>
      <c r="I9" s="6">
        <v>0</v>
      </c>
      <c r="J9" s="6">
        <v>39</v>
      </c>
      <c r="K9" s="6">
        <v>39</v>
      </c>
      <c r="L9" s="6">
        <v>74</v>
      </c>
      <c r="M9" s="6">
        <v>68.8</v>
      </c>
      <c r="N9" s="6">
        <v>2.8</v>
      </c>
      <c r="O9" s="6">
        <v>-119.7</v>
      </c>
      <c r="P9" s="6">
        <v>39042.300000000003</v>
      </c>
      <c r="Q9" s="6" t="s">
        <v>52</v>
      </c>
    </row>
    <row r="10" spans="2:17" x14ac:dyDescent="0.25">
      <c r="B10" s="6">
        <v>30800</v>
      </c>
      <c r="C10" s="6" t="s">
        <v>237</v>
      </c>
      <c r="D10" s="6">
        <v>0</v>
      </c>
      <c r="E10" s="6">
        <v>0</v>
      </c>
      <c r="F10" s="6">
        <v>0</v>
      </c>
      <c r="G10" s="6">
        <v>0</v>
      </c>
      <c r="H10" s="6">
        <v>0</v>
      </c>
      <c r="I10" s="6">
        <v>0</v>
      </c>
      <c r="J10" s="6">
        <v>109</v>
      </c>
      <c r="K10" s="6">
        <v>109</v>
      </c>
      <c r="L10" s="6">
        <v>230</v>
      </c>
      <c r="M10" s="6">
        <v>68.540000000000006</v>
      </c>
      <c r="N10" s="6">
        <v>3.05</v>
      </c>
      <c r="O10" s="6">
        <v>-129.25</v>
      </c>
      <c r="P10" s="6">
        <v>39042.300000000003</v>
      </c>
      <c r="Q10" s="6" t="s">
        <v>52</v>
      </c>
    </row>
    <row r="11" spans="2:17" x14ac:dyDescent="0.25">
      <c r="B11" s="6">
        <v>30900</v>
      </c>
      <c r="C11" s="6" t="s">
        <v>237</v>
      </c>
      <c r="D11" s="6">
        <v>0</v>
      </c>
      <c r="E11" s="6">
        <v>0</v>
      </c>
      <c r="F11" s="6">
        <v>0</v>
      </c>
      <c r="G11" s="6">
        <v>0</v>
      </c>
      <c r="H11" s="6">
        <v>0</v>
      </c>
      <c r="I11" s="6">
        <v>0</v>
      </c>
      <c r="J11" s="6">
        <v>79</v>
      </c>
      <c r="K11" s="6">
        <v>79</v>
      </c>
      <c r="L11" s="6">
        <v>1619</v>
      </c>
      <c r="M11" s="6">
        <v>67.239999999999995</v>
      </c>
      <c r="N11" s="6">
        <v>2.85</v>
      </c>
      <c r="O11" s="6">
        <v>-139.85</v>
      </c>
      <c r="P11" s="6">
        <v>39042.300000000003</v>
      </c>
      <c r="Q11" s="6" t="s">
        <v>52</v>
      </c>
    </row>
    <row r="12" spans="2:17" x14ac:dyDescent="0.25">
      <c r="B12" s="6">
        <v>31000</v>
      </c>
      <c r="C12" s="6" t="s">
        <v>237</v>
      </c>
      <c r="D12" s="6">
        <v>0</v>
      </c>
      <c r="E12" s="6">
        <v>0</v>
      </c>
      <c r="F12" s="6">
        <v>0</v>
      </c>
      <c r="G12" s="6">
        <v>0</v>
      </c>
      <c r="H12" s="6">
        <v>0</v>
      </c>
      <c r="I12" s="6">
        <v>0</v>
      </c>
      <c r="J12" s="6">
        <v>1340</v>
      </c>
      <c r="K12" s="6">
        <v>1157</v>
      </c>
      <c r="L12" s="6">
        <v>9987</v>
      </c>
      <c r="M12" s="6">
        <v>65.540000000000006</v>
      </c>
      <c r="N12" s="6">
        <v>2.5</v>
      </c>
      <c r="O12" s="6">
        <v>-0.14999999999999991</v>
      </c>
      <c r="P12" s="6">
        <v>39042.300000000003</v>
      </c>
      <c r="Q12" s="6" t="s">
        <v>52</v>
      </c>
    </row>
    <row r="13" spans="2:17" x14ac:dyDescent="0.25">
      <c r="B13" s="6">
        <v>31100</v>
      </c>
      <c r="C13" s="6" t="s">
        <v>237</v>
      </c>
      <c r="D13" s="6">
        <v>0</v>
      </c>
      <c r="E13" s="6">
        <v>0</v>
      </c>
      <c r="F13" s="6">
        <v>0</v>
      </c>
      <c r="G13" s="6">
        <v>0</v>
      </c>
      <c r="H13" s="6">
        <v>0</v>
      </c>
      <c r="I13" s="6">
        <v>0</v>
      </c>
      <c r="J13" s="6">
        <v>13</v>
      </c>
      <c r="K13" s="6">
        <v>13</v>
      </c>
      <c r="L13" s="6">
        <v>40</v>
      </c>
      <c r="M13" s="6">
        <v>65.78</v>
      </c>
      <c r="N13" s="6">
        <v>2.95</v>
      </c>
      <c r="O13" s="6">
        <v>-162.55000000000001</v>
      </c>
      <c r="P13" s="6">
        <v>39042.300000000003</v>
      </c>
      <c r="Q13" s="6" t="s">
        <v>52</v>
      </c>
    </row>
    <row r="14" spans="2:17" x14ac:dyDescent="0.25">
      <c r="B14" s="6">
        <v>31200</v>
      </c>
      <c r="C14" s="6" t="s">
        <v>237</v>
      </c>
      <c r="D14" s="6">
        <v>0</v>
      </c>
      <c r="E14" s="6">
        <v>0</v>
      </c>
      <c r="F14" s="6">
        <v>0</v>
      </c>
      <c r="G14" s="6">
        <v>0</v>
      </c>
      <c r="H14" s="6">
        <v>0</v>
      </c>
      <c r="I14" s="6">
        <v>0</v>
      </c>
      <c r="J14" s="6">
        <v>9</v>
      </c>
      <c r="K14" s="6">
        <v>9</v>
      </c>
      <c r="L14" s="6">
        <v>19</v>
      </c>
      <c r="M14" s="6">
        <v>62.66</v>
      </c>
      <c r="N14" s="6">
        <v>2.0499999999999998</v>
      </c>
      <c r="O14" s="6">
        <v>-175.85</v>
      </c>
      <c r="P14" s="6">
        <v>39042.300000000003</v>
      </c>
      <c r="Q14" s="6" t="s">
        <v>52</v>
      </c>
    </row>
    <row r="15" spans="2:17" x14ac:dyDescent="0.25">
      <c r="B15" s="6">
        <v>31300</v>
      </c>
      <c r="C15" s="6" t="s">
        <v>237</v>
      </c>
      <c r="D15" s="6">
        <v>0</v>
      </c>
      <c r="E15" s="6">
        <v>0</v>
      </c>
      <c r="F15" s="6">
        <v>0</v>
      </c>
      <c r="G15" s="6">
        <v>0</v>
      </c>
      <c r="H15" s="6">
        <v>0</v>
      </c>
      <c r="I15" s="6">
        <v>0</v>
      </c>
      <c r="J15" s="6">
        <v>20</v>
      </c>
      <c r="K15" s="6">
        <v>20</v>
      </c>
      <c r="L15" s="6">
        <v>84</v>
      </c>
      <c r="M15" s="6">
        <v>64.099999999999994</v>
      </c>
      <c r="N15" s="6">
        <v>2.95</v>
      </c>
      <c r="O15" s="6">
        <v>-188.05</v>
      </c>
      <c r="P15" s="6">
        <v>39042.300000000003</v>
      </c>
      <c r="Q15" s="6" t="s">
        <v>52</v>
      </c>
    </row>
    <row r="16" spans="2:17" x14ac:dyDescent="0.25">
      <c r="B16" s="6">
        <v>31400</v>
      </c>
      <c r="C16" s="6" t="s">
        <v>237</v>
      </c>
      <c r="D16" s="6">
        <v>0</v>
      </c>
      <c r="E16" s="6">
        <v>0</v>
      </c>
      <c r="F16" s="6">
        <v>0</v>
      </c>
      <c r="G16" s="6">
        <v>0</v>
      </c>
      <c r="H16" s="6">
        <v>0</v>
      </c>
      <c r="I16" s="6">
        <v>0</v>
      </c>
      <c r="J16" s="6">
        <v>24</v>
      </c>
      <c r="K16" s="6">
        <v>24</v>
      </c>
      <c r="L16" s="6">
        <v>51</v>
      </c>
      <c r="M16" s="6">
        <v>61.46</v>
      </c>
      <c r="N16" s="6">
        <v>2.2000000000000002</v>
      </c>
      <c r="O16" s="6">
        <v>-202.65</v>
      </c>
      <c r="P16" s="6">
        <v>39042.300000000003</v>
      </c>
      <c r="Q16" s="6" t="s">
        <v>52</v>
      </c>
    </row>
    <row r="17" spans="2:17" x14ac:dyDescent="0.25">
      <c r="B17" s="6">
        <v>31500</v>
      </c>
      <c r="C17" s="6" t="s">
        <v>237</v>
      </c>
      <c r="D17" s="6">
        <v>0</v>
      </c>
      <c r="E17" s="6">
        <v>0</v>
      </c>
      <c r="F17" s="6">
        <v>0</v>
      </c>
      <c r="G17" s="6">
        <v>0</v>
      </c>
      <c r="H17" s="6">
        <v>0</v>
      </c>
      <c r="I17" s="6">
        <v>0</v>
      </c>
      <c r="J17" s="6">
        <v>450</v>
      </c>
      <c r="K17" s="6">
        <v>362</v>
      </c>
      <c r="L17" s="6">
        <v>3992</v>
      </c>
      <c r="M17" s="6">
        <v>61.03</v>
      </c>
      <c r="N17" s="6">
        <v>2.35</v>
      </c>
      <c r="O17" s="6">
        <v>-0.35000000000000009</v>
      </c>
      <c r="P17" s="6">
        <v>39042.300000000003</v>
      </c>
      <c r="Q17" s="6" t="s">
        <v>52</v>
      </c>
    </row>
    <row r="18" spans="2:17" x14ac:dyDescent="0.25">
      <c r="B18" s="6">
        <v>31600</v>
      </c>
      <c r="C18" s="6" t="s">
        <v>237</v>
      </c>
      <c r="D18" s="6">
        <v>0</v>
      </c>
      <c r="E18" s="6">
        <v>0</v>
      </c>
      <c r="F18" s="6">
        <v>0</v>
      </c>
      <c r="G18" s="6">
        <v>0</v>
      </c>
      <c r="H18" s="6">
        <v>0</v>
      </c>
      <c r="I18" s="6">
        <v>0</v>
      </c>
      <c r="J18" s="6">
        <v>13</v>
      </c>
      <c r="K18" s="6">
        <v>13</v>
      </c>
      <c r="L18" s="6">
        <v>29</v>
      </c>
      <c r="M18" s="6">
        <v>61.6</v>
      </c>
      <c r="N18" s="6">
        <v>2.95</v>
      </c>
      <c r="O18" s="6">
        <v>-231.95</v>
      </c>
      <c r="P18" s="6">
        <v>39042.300000000003</v>
      </c>
      <c r="Q18" s="6" t="s">
        <v>52</v>
      </c>
    </row>
    <row r="19" spans="2:17" x14ac:dyDescent="0.25">
      <c r="B19" s="6">
        <v>31700</v>
      </c>
      <c r="C19" s="6" t="s">
        <v>237</v>
      </c>
      <c r="D19" s="6">
        <v>0</v>
      </c>
      <c r="E19" s="6">
        <v>0</v>
      </c>
      <c r="F19" s="6">
        <v>0</v>
      </c>
      <c r="G19" s="6">
        <v>0</v>
      </c>
      <c r="H19" s="6">
        <v>0</v>
      </c>
      <c r="I19" s="6">
        <v>0</v>
      </c>
      <c r="J19" s="6">
        <v>0</v>
      </c>
      <c r="K19" s="6">
        <v>0</v>
      </c>
      <c r="L19" s="6">
        <v>0</v>
      </c>
      <c r="M19" s="6">
        <v>0</v>
      </c>
      <c r="N19" s="6">
        <v>0</v>
      </c>
      <c r="O19" s="6">
        <v>0</v>
      </c>
      <c r="P19" s="6">
        <v>39042.300000000003</v>
      </c>
      <c r="Q19" s="6" t="s">
        <v>52</v>
      </c>
    </row>
    <row r="20" spans="2:17" x14ac:dyDescent="0.25">
      <c r="B20" s="6">
        <v>31800</v>
      </c>
      <c r="C20" s="6" t="s">
        <v>237</v>
      </c>
      <c r="D20" s="6">
        <v>0</v>
      </c>
      <c r="E20" s="6">
        <v>0</v>
      </c>
      <c r="F20" s="6">
        <v>0</v>
      </c>
      <c r="G20" s="6">
        <v>0</v>
      </c>
      <c r="H20" s="6">
        <v>0</v>
      </c>
      <c r="I20" s="6">
        <v>0</v>
      </c>
      <c r="J20" s="6">
        <v>5</v>
      </c>
      <c r="K20" s="6">
        <v>5</v>
      </c>
      <c r="L20" s="6">
        <v>5</v>
      </c>
      <c r="M20" s="6">
        <v>56.3</v>
      </c>
      <c r="N20" s="6">
        <v>1.55</v>
      </c>
      <c r="O20" s="6">
        <v>-266.7</v>
      </c>
      <c r="P20" s="6">
        <v>39042.300000000003</v>
      </c>
      <c r="Q20" s="6" t="s">
        <v>52</v>
      </c>
    </row>
    <row r="21" spans="2:17" x14ac:dyDescent="0.25">
      <c r="B21" s="6">
        <v>31900</v>
      </c>
      <c r="C21" s="6" t="s">
        <v>237</v>
      </c>
      <c r="D21" s="6">
        <v>0</v>
      </c>
      <c r="E21" s="6">
        <v>0</v>
      </c>
      <c r="F21" s="6">
        <v>0</v>
      </c>
      <c r="G21" s="6">
        <v>0</v>
      </c>
      <c r="H21" s="6">
        <v>0</v>
      </c>
      <c r="I21" s="6">
        <v>0</v>
      </c>
      <c r="J21" s="6">
        <v>0</v>
      </c>
      <c r="K21" s="6">
        <v>0</v>
      </c>
      <c r="L21" s="6">
        <v>0</v>
      </c>
      <c r="M21" s="6">
        <v>0</v>
      </c>
      <c r="N21" s="6">
        <v>0</v>
      </c>
      <c r="O21" s="6">
        <v>0</v>
      </c>
      <c r="P21" s="6">
        <v>39042.300000000003</v>
      </c>
      <c r="Q21" s="6" t="s">
        <v>52</v>
      </c>
    </row>
    <row r="22" spans="2:17" x14ac:dyDescent="0.25">
      <c r="B22" s="6">
        <v>32000</v>
      </c>
      <c r="C22" s="6" t="s">
        <v>237</v>
      </c>
      <c r="D22" s="6">
        <v>0</v>
      </c>
      <c r="E22" s="6">
        <v>0</v>
      </c>
      <c r="F22" s="6">
        <v>0</v>
      </c>
      <c r="G22" s="6">
        <v>0</v>
      </c>
      <c r="H22" s="6">
        <v>0</v>
      </c>
      <c r="I22" s="6">
        <v>0</v>
      </c>
      <c r="J22" s="6">
        <v>2018</v>
      </c>
      <c r="K22" s="6">
        <v>464</v>
      </c>
      <c r="L22" s="6">
        <v>10288</v>
      </c>
      <c r="M22" s="6">
        <v>58.19</v>
      </c>
      <c r="N22" s="6">
        <v>2.9</v>
      </c>
      <c r="O22" s="6">
        <v>0.10000000000000007</v>
      </c>
      <c r="P22" s="6">
        <v>39042.300000000003</v>
      </c>
      <c r="Q22" s="6" t="s">
        <v>52</v>
      </c>
    </row>
    <row r="23" spans="2:17" x14ac:dyDescent="0.25">
      <c r="B23" s="6">
        <v>32100</v>
      </c>
      <c r="C23" s="6" t="s">
        <v>237</v>
      </c>
      <c r="D23" s="6">
        <v>0</v>
      </c>
      <c r="E23" s="6">
        <v>0</v>
      </c>
      <c r="F23" s="6">
        <v>0</v>
      </c>
      <c r="G23" s="6">
        <v>0</v>
      </c>
      <c r="H23" s="6">
        <v>0</v>
      </c>
      <c r="I23" s="6">
        <v>0</v>
      </c>
      <c r="J23" s="6">
        <v>0</v>
      </c>
      <c r="K23" s="6">
        <v>0</v>
      </c>
      <c r="L23" s="6">
        <v>0</v>
      </c>
      <c r="M23" s="6">
        <v>0</v>
      </c>
      <c r="N23" s="6">
        <v>0</v>
      </c>
      <c r="O23" s="6">
        <v>0</v>
      </c>
      <c r="P23" s="6">
        <v>39042.300000000003</v>
      </c>
      <c r="Q23" s="6" t="s">
        <v>52</v>
      </c>
    </row>
    <row r="24" spans="2:17" x14ac:dyDescent="0.25">
      <c r="B24" s="6">
        <v>32200</v>
      </c>
      <c r="C24" s="6" t="s">
        <v>237</v>
      </c>
      <c r="D24" s="6">
        <v>0</v>
      </c>
      <c r="E24" s="6">
        <v>0</v>
      </c>
      <c r="F24" s="6">
        <v>0</v>
      </c>
      <c r="G24" s="6">
        <v>0</v>
      </c>
      <c r="H24" s="6">
        <v>0</v>
      </c>
      <c r="I24" s="6">
        <v>0</v>
      </c>
      <c r="J24" s="6">
        <v>0</v>
      </c>
      <c r="K24" s="6">
        <v>0</v>
      </c>
      <c r="L24" s="6">
        <v>0</v>
      </c>
      <c r="M24" s="6">
        <v>0</v>
      </c>
      <c r="N24" s="6">
        <v>0</v>
      </c>
      <c r="O24" s="6">
        <v>0</v>
      </c>
      <c r="P24" s="6">
        <v>39042.300000000003</v>
      </c>
      <c r="Q24" s="6" t="s">
        <v>52</v>
      </c>
    </row>
    <row r="25" spans="2:17" x14ac:dyDescent="0.25">
      <c r="B25" s="6">
        <v>32300</v>
      </c>
      <c r="C25" s="6" t="s">
        <v>237</v>
      </c>
      <c r="D25" s="6">
        <v>0</v>
      </c>
      <c r="E25" s="6">
        <v>0</v>
      </c>
      <c r="F25" s="6">
        <v>0</v>
      </c>
      <c r="G25" s="6">
        <v>0</v>
      </c>
      <c r="H25" s="6">
        <v>0</v>
      </c>
      <c r="I25" s="6">
        <v>0</v>
      </c>
      <c r="J25" s="6">
        <v>1</v>
      </c>
      <c r="K25" s="6">
        <v>1</v>
      </c>
      <c r="L25" s="6">
        <v>6</v>
      </c>
      <c r="M25" s="6">
        <v>53.82</v>
      </c>
      <c r="N25" s="6">
        <v>2.0499999999999998</v>
      </c>
      <c r="O25" s="6">
        <v>-365.1</v>
      </c>
      <c r="P25" s="6">
        <v>39042.300000000003</v>
      </c>
      <c r="Q25" s="6" t="s">
        <v>52</v>
      </c>
    </row>
    <row r="26" spans="2:17" x14ac:dyDescent="0.25">
      <c r="B26" s="6">
        <v>32400</v>
      </c>
      <c r="C26" s="6" t="s">
        <v>237</v>
      </c>
      <c r="D26" s="6">
        <v>0</v>
      </c>
      <c r="E26" s="6">
        <v>0</v>
      </c>
      <c r="F26" s="6">
        <v>0</v>
      </c>
      <c r="G26" s="6">
        <v>0</v>
      </c>
      <c r="H26" s="6">
        <v>0</v>
      </c>
      <c r="I26" s="6">
        <v>0</v>
      </c>
      <c r="J26" s="6">
        <v>6</v>
      </c>
      <c r="K26" s="6">
        <v>6</v>
      </c>
      <c r="L26" s="6">
        <v>6</v>
      </c>
      <c r="M26" s="6">
        <v>53.03</v>
      </c>
      <c r="N26" s="6">
        <v>2.0499999999999998</v>
      </c>
      <c r="O26" s="6">
        <v>-6.3</v>
      </c>
      <c r="P26" s="6">
        <v>39042.300000000003</v>
      </c>
      <c r="Q26" s="6" t="s">
        <v>52</v>
      </c>
    </row>
    <row r="27" spans="2:17" x14ac:dyDescent="0.25">
      <c r="B27" s="6">
        <v>32500</v>
      </c>
      <c r="C27" s="6" t="s">
        <v>237</v>
      </c>
      <c r="D27" s="6">
        <v>0</v>
      </c>
      <c r="E27" s="6">
        <v>0</v>
      </c>
      <c r="F27" s="6">
        <v>0</v>
      </c>
      <c r="G27" s="6">
        <v>0</v>
      </c>
      <c r="H27" s="6">
        <v>0</v>
      </c>
      <c r="I27" s="6">
        <v>0</v>
      </c>
      <c r="J27" s="6">
        <v>752</v>
      </c>
      <c r="K27" s="6">
        <v>186</v>
      </c>
      <c r="L27" s="6">
        <v>7699</v>
      </c>
      <c r="M27" s="6">
        <v>54.28</v>
      </c>
      <c r="N27" s="6">
        <v>3</v>
      </c>
      <c r="O27" s="6">
        <v>0.10000000000000007</v>
      </c>
      <c r="P27" s="6">
        <v>39042.300000000003</v>
      </c>
      <c r="Q27" s="6" t="s">
        <v>52</v>
      </c>
    </row>
    <row r="28" spans="2:17" x14ac:dyDescent="0.25">
      <c r="B28" s="6">
        <v>32600</v>
      </c>
      <c r="C28" s="6" t="s">
        <v>237</v>
      </c>
      <c r="D28" s="6">
        <v>0</v>
      </c>
      <c r="E28" s="6">
        <v>0</v>
      </c>
      <c r="F28" s="6">
        <v>0</v>
      </c>
      <c r="G28" s="6">
        <v>0</v>
      </c>
      <c r="H28" s="6">
        <v>0</v>
      </c>
      <c r="I28" s="6">
        <v>0</v>
      </c>
      <c r="J28" s="6">
        <v>0</v>
      </c>
      <c r="K28" s="6">
        <v>0</v>
      </c>
      <c r="L28" s="6">
        <v>0</v>
      </c>
      <c r="M28" s="6">
        <v>0</v>
      </c>
      <c r="N28" s="6">
        <v>0</v>
      </c>
      <c r="O28" s="6">
        <v>0</v>
      </c>
      <c r="P28" s="6">
        <v>39042.300000000003</v>
      </c>
      <c r="Q28" s="6" t="s">
        <v>52</v>
      </c>
    </row>
    <row r="29" spans="2:17" x14ac:dyDescent="0.25">
      <c r="B29" s="6">
        <v>32700</v>
      </c>
      <c r="C29" s="6" t="s">
        <v>237</v>
      </c>
      <c r="D29" s="6">
        <v>4</v>
      </c>
      <c r="E29" s="6">
        <v>0</v>
      </c>
      <c r="F29" s="6">
        <v>0</v>
      </c>
      <c r="G29" s="6">
        <v>0</v>
      </c>
      <c r="H29" s="6">
        <v>6120</v>
      </c>
      <c r="I29" s="6">
        <v>0</v>
      </c>
      <c r="J29" s="6">
        <v>2</v>
      </c>
      <c r="K29" s="6">
        <v>0</v>
      </c>
      <c r="L29" s="6">
        <v>0</v>
      </c>
      <c r="M29" s="6">
        <v>0</v>
      </c>
      <c r="N29" s="6">
        <v>85</v>
      </c>
      <c r="O29" s="6">
        <v>0</v>
      </c>
      <c r="P29" s="6">
        <v>39042.300000000003</v>
      </c>
      <c r="Q29" s="6" t="s">
        <v>52</v>
      </c>
    </row>
    <row r="30" spans="2:17" x14ac:dyDescent="0.25">
      <c r="B30" s="6">
        <v>32800</v>
      </c>
      <c r="C30" s="6" t="s">
        <v>237</v>
      </c>
      <c r="D30" s="6">
        <v>0</v>
      </c>
      <c r="E30" s="6">
        <v>0</v>
      </c>
      <c r="F30" s="6">
        <v>0</v>
      </c>
      <c r="G30" s="6">
        <v>0</v>
      </c>
      <c r="H30" s="6">
        <v>0</v>
      </c>
      <c r="I30" s="6">
        <v>0</v>
      </c>
      <c r="J30" s="6">
        <v>0</v>
      </c>
      <c r="K30" s="6">
        <v>0</v>
      </c>
      <c r="L30" s="6">
        <v>0</v>
      </c>
      <c r="M30" s="6">
        <v>0</v>
      </c>
      <c r="N30" s="6">
        <v>0</v>
      </c>
      <c r="O30" s="6">
        <v>0</v>
      </c>
      <c r="P30" s="6">
        <v>39042.300000000003</v>
      </c>
      <c r="Q30" s="6" t="s">
        <v>52</v>
      </c>
    </row>
    <row r="31" spans="2:17" x14ac:dyDescent="0.25">
      <c r="B31" s="6">
        <v>32900</v>
      </c>
      <c r="C31" s="6" t="s">
        <v>237</v>
      </c>
      <c r="D31" s="6">
        <v>0</v>
      </c>
      <c r="E31" s="6">
        <v>0</v>
      </c>
      <c r="F31" s="6">
        <v>0</v>
      </c>
      <c r="G31" s="6">
        <v>0</v>
      </c>
      <c r="H31" s="6">
        <v>0</v>
      </c>
      <c r="I31" s="6">
        <v>0</v>
      </c>
      <c r="J31" s="6">
        <v>0</v>
      </c>
      <c r="K31" s="6">
        <v>0</v>
      </c>
      <c r="L31" s="6">
        <v>0</v>
      </c>
      <c r="M31" s="6">
        <v>0</v>
      </c>
      <c r="N31" s="6">
        <v>0</v>
      </c>
      <c r="O31" s="6">
        <v>0</v>
      </c>
      <c r="P31" s="6">
        <v>39042.300000000003</v>
      </c>
      <c r="Q31" s="6" t="s">
        <v>52</v>
      </c>
    </row>
    <row r="32" spans="2:17" x14ac:dyDescent="0.25">
      <c r="B32" s="6">
        <v>33000</v>
      </c>
      <c r="C32" s="6" t="s">
        <v>237</v>
      </c>
      <c r="D32" s="6">
        <v>2</v>
      </c>
      <c r="E32" s="6">
        <v>0</v>
      </c>
      <c r="F32" s="6">
        <v>0</v>
      </c>
      <c r="G32" s="6">
        <v>0</v>
      </c>
      <c r="H32" s="6">
        <v>5812.3</v>
      </c>
      <c r="I32" s="6">
        <v>0</v>
      </c>
      <c r="J32" s="6">
        <v>2674</v>
      </c>
      <c r="K32" s="6">
        <v>1217</v>
      </c>
      <c r="L32" s="6">
        <v>17507</v>
      </c>
      <c r="M32" s="6">
        <v>49.67</v>
      </c>
      <c r="N32" s="6">
        <v>2.7</v>
      </c>
      <c r="O32" s="6">
        <v>-0.5</v>
      </c>
      <c r="P32" s="6">
        <v>39042.300000000003</v>
      </c>
      <c r="Q32" s="6" t="s">
        <v>52</v>
      </c>
    </row>
    <row r="33" spans="2:17" x14ac:dyDescent="0.25">
      <c r="B33" s="6">
        <v>33100</v>
      </c>
      <c r="C33" s="6" t="s">
        <v>237</v>
      </c>
      <c r="D33" s="6">
        <v>0</v>
      </c>
      <c r="E33" s="6">
        <v>0</v>
      </c>
      <c r="F33" s="6">
        <v>0</v>
      </c>
      <c r="G33" s="6">
        <v>0</v>
      </c>
      <c r="H33" s="6">
        <v>0</v>
      </c>
      <c r="I33" s="6">
        <v>0</v>
      </c>
      <c r="J33" s="6">
        <v>18</v>
      </c>
      <c r="K33" s="6">
        <v>18</v>
      </c>
      <c r="L33" s="6">
        <v>35</v>
      </c>
      <c r="M33" s="6">
        <v>49.05</v>
      </c>
      <c r="N33" s="6">
        <v>2.8</v>
      </c>
      <c r="O33" s="6">
        <v>-574.40000000000009</v>
      </c>
      <c r="P33" s="6">
        <v>39042.300000000003</v>
      </c>
      <c r="Q33" s="6" t="s">
        <v>52</v>
      </c>
    </row>
    <row r="34" spans="2:17" x14ac:dyDescent="0.25">
      <c r="B34" s="6">
        <v>33200</v>
      </c>
      <c r="C34" s="6" t="s">
        <v>237</v>
      </c>
      <c r="D34" s="6">
        <v>0</v>
      </c>
      <c r="E34" s="6">
        <v>0</v>
      </c>
      <c r="F34" s="6">
        <v>0</v>
      </c>
      <c r="G34" s="6">
        <v>0</v>
      </c>
      <c r="H34" s="6">
        <v>0</v>
      </c>
      <c r="I34" s="6">
        <v>0</v>
      </c>
      <c r="J34" s="6">
        <v>0</v>
      </c>
      <c r="K34" s="6">
        <v>0</v>
      </c>
      <c r="L34" s="6">
        <v>0</v>
      </c>
      <c r="M34" s="6">
        <v>0</v>
      </c>
      <c r="N34" s="6">
        <v>0</v>
      </c>
      <c r="O34" s="6">
        <v>0</v>
      </c>
      <c r="P34" s="6">
        <v>39042.300000000003</v>
      </c>
      <c r="Q34" s="6" t="s">
        <v>52</v>
      </c>
    </row>
    <row r="35" spans="2:17" x14ac:dyDescent="0.25">
      <c r="B35" s="6">
        <v>33300</v>
      </c>
      <c r="C35" s="6" t="s">
        <v>237</v>
      </c>
      <c r="D35" s="6">
        <v>0</v>
      </c>
      <c r="E35" s="6">
        <v>0</v>
      </c>
      <c r="F35" s="6">
        <v>0</v>
      </c>
      <c r="G35" s="6">
        <v>0</v>
      </c>
      <c r="H35" s="6">
        <v>0</v>
      </c>
      <c r="I35" s="6">
        <v>0</v>
      </c>
      <c r="J35" s="6">
        <v>33</v>
      </c>
      <c r="K35" s="6">
        <v>-8</v>
      </c>
      <c r="L35" s="6">
        <v>136</v>
      </c>
      <c r="M35" s="6">
        <v>47.17</v>
      </c>
      <c r="N35" s="6">
        <v>2.65</v>
      </c>
      <c r="O35" s="6">
        <v>-0.60000000000000009</v>
      </c>
      <c r="P35" s="6">
        <v>39042.300000000003</v>
      </c>
      <c r="Q35" s="6" t="s">
        <v>52</v>
      </c>
    </row>
    <row r="36" spans="2:17" x14ac:dyDescent="0.25">
      <c r="B36" s="6">
        <v>33400</v>
      </c>
      <c r="C36" s="6" t="s">
        <v>237</v>
      </c>
      <c r="D36" s="6">
        <v>0</v>
      </c>
      <c r="E36" s="6">
        <v>0</v>
      </c>
      <c r="F36" s="6">
        <v>0</v>
      </c>
      <c r="G36" s="6">
        <v>0</v>
      </c>
      <c r="H36" s="6">
        <v>0</v>
      </c>
      <c r="I36" s="6">
        <v>0</v>
      </c>
      <c r="J36" s="6">
        <v>21</v>
      </c>
      <c r="K36" s="6">
        <v>0</v>
      </c>
      <c r="L36" s="6">
        <v>0</v>
      </c>
      <c r="M36" s="6">
        <v>0</v>
      </c>
      <c r="N36" s="6">
        <v>9</v>
      </c>
      <c r="O36" s="6">
        <v>0</v>
      </c>
      <c r="P36" s="6">
        <v>39042.300000000003</v>
      </c>
      <c r="Q36" s="6" t="s">
        <v>52</v>
      </c>
    </row>
    <row r="37" spans="2:17" x14ac:dyDescent="0.25">
      <c r="B37" s="6">
        <v>33500</v>
      </c>
      <c r="C37" s="6" t="s">
        <v>237</v>
      </c>
      <c r="D37" s="6">
        <v>41</v>
      </c>
      <c r="E37" s="6">
        <v>0</v>
      </c>
      <c r="F37" s="6">
        <v>0</v>
      </c>
      <c r="G37" s="6">
        <v>0</v>
      </c>
      <c r="H37" s="6">
        <v>5222.1000000000004</v>
      </c>
      <c r="I37" s="6">
        <v>0</v>
      </c>
      <c r="J37" s="6">
        <v>1940</v>
      </c>
      <c r="K37" s="6">
        <v>1222</v>
      </c>
      <c r="L37" s="6">
        <v>11370</v>
      </c>
      <c r="M37" s="6">
        <v>47.39</v>
      </c>
      <c r="N37" s="6">
        <v>3.8</v>
      </c>
      <c r="O37" s="6">
        <v>0.34999999999999964</v>
      </c>
      <c r="P37" s="6">
        <v>39042.300000000003</v>
      </c>
      <c r="Q37" s="6" t="s">
        <v>52</v>
      </c>
    </row>
    <row r="38" spans="2:17" x14ac:dyDescent="0.25">
      <c r="B38" s="6">
        <v>33600</v>
      </c>
      <c r="C38" s="6" t="s">
        <v>237</v>
      </c>
      <c r="D38" s="6">
        <v>0</v>
      </c>
      <c r="E38" s="6">
        <v>0</v>
      </c>
      <c r="F38" s="6">
        <v>0</v>
      </c>
      <c r="G38" s="6">
        <v>0</v>
      </c>
      <c r="H38" s="6">
        <v>0</v>
      </c>
      <c r="I38" s="6">
        <v>0</v>
      </c>
      <c r="J38" s="6">
        <v>31</v>
      </c>
      <c r="K38" s="6">
        <v>29</v>
      </c>
      <c r="L38" s="6">
        <v>134</v>
      </c>
      <c r="M38" s="6">
        <v>45.13</v>
      </c>
      <c r="N38" s="6">
        <v>2.85</v>
      </c>
      <c r="O38" s="6">
        <v>-3.4499999999999997</v>
      </c>
      <c r="P38" s="6">
        <v>39042.300000000003</v>
      </c>
      <c r="Q38" s="6" t="s">
        <v>52</v>
      </c>
    </row>
    <row r="39" spans="2:17" x14ac:dyDescent="0.25">
      <c r="B39" s="6">
        <v>33700</v>
      </c>
      <c r="C39" s="6" t="s">
        <v>237</v>
      </c>
      <c r="D39" s="6">
        <v>5</v>
      </c>
      <c r="E39" s="6">
        <v>0</v>
      </c>
      <c r="F39" s="6">
        <v>0</v>
      </c>
      <c r="G39" s="6">
        <v>0</v>
      </c>
      <c r="H39" s="6">
        <v>4650</v>
      </c>
      <c r="I39" s="6">
        <v>0</v>
      </c>
      <c r="J39" s="6">
        <v>2</v>
      </c>
      <c r="K39" s="6">
        <v>0</v>
      </c>
      <c r="L39" s="6">
        <v>0</v>
      </c>
      <c r="M39" s="6">
        <v>0</v>
      </c>
      <c r="N39" s="6">
        <v>83.55</v>
      </c>
      <c r="O39" s="6">
        <v>0</v>
      </c>
      <c r="P39" s="6">
        <v>39042.300000000003</v>
      </c>
      <c r="Q39" s="6" t="s">
        <v>52</v>
      </c>
    </row>
    <row r="40" spans="2:17" x14ac:dyDescent="0.25">
      <c r="B40" s="6">
        <v>33800</v>
      </c>
      <c r="C40" s="6" t="s">
        <v>237</v>
      </c>
      <c r="D40" s="6">
        <v>0</v>
      </c>
      <c r="E40" s="6">
        <v>0</v>
      </c>
      <c r="F40" s="6">
        <v>0</v>
      </c>
      <c r="G40" s="6">
        <v>0</v>
      </c>
      <c r="H40" s="6">
        <v>0</v>
      </c>
      <c r="I40" s="6">
        <v>0</v>
      </c>
      <c r="J40" s="6">
        <v>176</v>
      </c>
      <c r="K40" s="6">
        <v>20</v>
      </c>
      <c r="L40" s="6">
        <v>3238</v>
      </c>
      <c r="M40" s="6">
        <v>46.69</v>
      </c>
      <c r="N40" s="6">
        <v>5.3</v>
      </c>
      <c r="O40" s="6">
        <v>1.2999999999999998</v>
      </c>
      <c r="P40" s="6">
        <v>39042.300000000003</v>
      </c>
      <c r="Q40" s="6" t="s">
        <v>52</v>
      </c>
    </row>
    <row r="41" spans="2:17" x14ac:dyDescent="0.25">
      <c r="B41" s="6">
        <v>33900</v>
      </c>
      <c r="C41" s="6" t="s">
        <v>237</v>
      </c>
      <c r="D41" s="6">
        <v>2</v>
      </c>
      <c r="E41" s="6">
        <v>2</v>
      </c>
      <c r="F41" s="6">
        <v>4</v>
      </c>
      <c r="G41" s="6">
        <v>0</v>
      </c>
      <c r="H41" s="6">
        <v>4864.25</v>
      </c>
      <c r="I41" s="6">
        <v>3083.75</v>
      </c>
      <c r="J41" s="6">
        <v>81</v>
      </c>
      <c r="K41" s="6">
        <v>-18</v>
      </c>
      <c r="L41" s="6">
        <v>1589</v>
      </c>
      <c r="M41" s="6">
        <v>44.12</v>
      </c>
      <c r="N41" s="6">
        <v>3.8</v>
      </c>
      <c r="O41" s="6">
        <v>0</v>
      </c>
      <c r="P41" s="6">
        <v>39042.300000000003</v>
      </c>
      <c r="Q41" s="6" t="s">
        <v>52</v>
      </c>
    </row>
    <row r="42" spans="2:17" x14ac:dyDescent="0.25">
      <c r="B42" s="6">
        <v>34000</v>
      </c>
      <c r="C42" s="6" t="s">
        <v>237</v>
      </c>
      <c r="D42" s="6">
        <v>11</v>
      </c>
      <c r="E42" s="6">
        <v>0</v>
      </c>
      <c r="F42" s="6">
        <v>0</v>
      </c>
      <c r="G42" s="6">
        <v>0</v>
      </c>
      <c r="H42" s="6">
        <v>4869.95</v>
      </c>
      <c r="I42" s="6">
        <v>0</v>
      </c>
      <c r="J42" s="6">
        <v>10329</v>
      </c>
      <c r="K42" s="6">
        <v>7120</v>
      </c>
      <c r="L42" s="6">
        <v>41901</v>
      </c>
      <c r="M42" s="6">
        <v>43.68</v>
      </c>
      <c r="N42" s="6">
        <v>4.0999999999999996</v>
      </c>
      <c r="O42" s="6">
        <v>0.19999999999999973</v>
      </c>
      <c r="P42" s="6">
        <v>39042.300000000003</v>
      </c>
      <c r="Q42" s="6" t="s">
        <v>52</v>
      </c>
    </row>
    <row r="43" spans="2:17" x14ac:dyDescent="0.25">
      <c r="B43" s="6">
        <v>34100</v>
      </c>
      <c r="C43" s="6" t="s">
        <v>237</v>
      </c>
      <c r="D43" s="6">
        <v>0</v>
      </c>
      <c r="E43" s="6">
        <v>0</v>
      </c>
      <c r="F43" s="6">
        <v>0</v>
      </c>
      <c r="G43" s="6">
        <v>0</v>
      </c>
      <c r="H43" s="6">
        <v>0</v>
      </c>
      <c r="I43" s="6">
        <v>0</v>
      </c>
      <c r="J43" s="6">
        <v>111</v>
      </c>
      <c r="K43" s="6">
        <v>-3</v>
      </c>
      <c r="L43" s="6">
        <v>2935</v>
      </c>
      <c r="M43" s="6">
        <v>39.229999999999997</v>
      </c>
      <c r="N43" s="6">
        <v>1.8</v>
      </c>
      <c r="O43" s="6">
        <v>-2.3500000000000005</v>
      </c>
      <c r="P43" s="6">
        <v>39042.300000000003</v>
      </c>
      <c r="Q43" s="6" t="s">
        <v>52</v>
      </c>
    </row>
    <row r="44" spans="2:17" x14ac:dyDescent="0.25">
      <c r="B44" s="6">
        <v>34200</v>
      </c>
      <c r="C44" s="6" t="s">
        <v>237</v>
      </c>
      <c r="D44" s="6">
        <v>0</v>
      </c>
      <c r="E44" s="6">
        <v>0</v>
      </c>
      <c r="F44" s="6">
        <v>0</v>
      </c>
      <c r="G44" s="6">
        <v>0</v>
      </c>
      <c r="H44" s="6">
        <v>0</v>
      </c>
      <c r="I44" s="6">
        <v>0</v>
      </c>
      <c r="J44" s="6">
        <v>144</v>
      </c>
      <c r="K44" s="6">
        <v>85</v>
      </c>
      <c r="L44" s="6">
        <v>1688</v>
      </c>
      <c r="M44" s="6">
        <v>43.81</v>
      </c>
      <c r="N44" s="6">
        <v>5.8</v>
      </c>
      <c r="O44" s="6">
        <v>1.4500000000000002</v>
      </c>
      <c r="P44" s="6">
        <v>39042.300000000003</v>
      </c>
      <c r="Q44" s="6" t="s">
        <v>52</v>
      </c>
    </row>
    <row r="45" spans="2:17" x14ac:dyDescent="0.25">
      <c r="B45" s="6">
        <v>34300</v>
      </c>
      <c r="C45" s="6" t="s">
        <v>237</v>
      </c>
      <c r="D45" s="6">
        <v>150</v>
      </c>
      <c r="E45" s="6">
        <v>0</v>
      </c>
      <c r="F45" s="6">
        <v>2</v>
      </c>
      <c r="G45" s="6">
        <v>0</v>
      </c>
      <c r="H45" s="6">
        <v>4548.8999999999996</v>
      </c>
      <c r="I45" s="6">
        <v>-30.450000000000728</v>
      </c>
      <c r="J45" s="6">
        <v>194</v>
      </c>
      <c r="K45" s="6">
        <v>49</v>
      </c>
      <c r="L45" s="6">
        <v>2172</v>
      </c>
      <c r="M45" s="6">
        <v>38.119999999999997</v>
      </c>
      <c r="N45" s="6">
        <v>2</v>
      </c>
      <c r="O45" s="6">
        <v>-2.0999999999999996</v>
      </c>
      <c r="P45" s="6">
        <v>39042.300000000003</v>
      </c>
      <c r="Q45" s="6" t="s">
        <v>52</v>
      </c>
    </row>
    <row r="46" spans="2:17" x14ac:dyDescent="0.25">
      <c r="B46" s="6">
        <v>34400</v>
      </c>
      <c r="C46" s="6" t="s">
        <v>237</v>
      </c>
      <c r="D46" s="6">
        <v>1</v>
      </c>
      <c r="E46" s="6">
        <v>0</v>
      </c>
      <c r="F46" s="6">
        <v>0</v>
      </c>
      <c r="G46" s="6">
        <v>0</v>
      </c>
      <c r="H46" s="6">
        <v>3466.05</v>
      </c>
      <c r="I46" s="6">
        <v>0</v>
      </c>
      <c r="J46" s="6">
        <v>169</v>
      </c>
      <c r="K46" s="6">
        <v>-252</v>
      </c>
      <c r="L46" s="6">
        <v>2289</v>
      </c>
      <c r="M46" s="6">
        <v>42.07</v>
      </c>
      <c r="N46" s="6">
        <v>5.75</v>
      </c>
      <c r="O46" s="6">
        <v>1.4500000000000002</v>
      </c>
      <c r="P46" s="6">
        <v>39042.300000000003</v>
      </c>
      <c r="Q46" s="6" t="s">
        <v>52</v>
      </c>
    </row>
    <row r="47" spans="2:17" x14ac:dyDescent="0.25">
      <c r="B47" s="6">
        <v>34500</v>
      </c>
      <c r="C47" s="6" t="s">
        <v>237</v>
      </c>
      <c r="D47" s="6">
        <v>54</v>
      </c>
      <c r="E47" s="6">
        <v>1</v>
      </c>
      <c r="F47" s="6">
        <v>3</v>
      </c>
      <c r="G47" s="6">
        <v>0</v>
      </c>
      <c r="H47" s="6">
        <v>4500</v>
      </c>
      <c r="I47" s="6">
        <v>110</v>
      </c>
      <c r="J47" s="6">
        <v>3094</v>
      </c>
      <c r="K47" s="6">
        <v>66</v>
      </c>
      <c r="L47" s="6">
        <v>24421</v>
      </c>
      <c r="M47" s="6">
        <v>39.42</v>
      </c>
      <c r="N47" s="6">
        <v>3.95</v>
      </c>
      <c r="O47" s="6">
        <v>-0.29999999999999982</v>
      </c>
      <c r="P47" s="6">
        <v>39042.300000000003</v>
      </c>
      <c r="Q47" s="6" t="s">
        <v>52</v>
      </c>
    </row>
    <row r="48" spans="2:17" x14ac:dyDescent="0.25">
      <c r="B48" s="6">
        <v>34600</v>
      </c>
      <c r="C48" s="6" t="s">
        <v>237</v>
      </c>
      <c r="D48" s="6">
        <v>0</v>
      </c>
      <c r="E48" s="6">
        <v>0</v>
      </c>
      <c r="F48" s="6">
        <v>0</v>
      </c>
      <c r="G48" s="6">
        <v>0</v>
      </c>
      <c r="H48" s="6">
        <v>0</v>
      </c>
      <c r="I48" s="6">
        <v>0</v>
      </c>
      <c r="J48" s="6">
        <v>333</v>
      </c>
      <c r="K48" s="6">
        <v>-23</v>
      </c>
      <c r="L48" s="6">
        <v>3756</v>
      </c>
      <c r="M48" s="6">
        <v>39.700000000000003</v>
      </c>
      <c r="N48" s="6">
        <v>5</v>
      </c>
      <c r="O48" s="6">
        <v>0.65000000000000036</v>
      </c>
      <c r="P48" s="6">
        <v>39042.300000000003</v>
      </c>
      <c r="Q48" s="6" t="s">
        <v>52</v>
      </c>
    </row>
    <row r="49" spans="2:17" x14ac:dyDescent="0.25">
      <c r="B49" s="6">
        <v>34700</v>
      </c>
      <c r="C49" s="6" t="s">
        <v>237</v>
      </c>
      <c r="D49" s="6">
        <v>4</v>
      </c>
      <c r="E49" s="6">
        <v>1</v>
      </c>
      <c r="F49" s="6">
        <v>4</v>
      </c>
      <c r="G49" s="6">
        <v>0</v>
      </c>
      <c r="H49" s="6">
        <v>4203.25</v>
      </c>
      <c r="I49" s="6">
        <v>803.25</v>
      </c>
      <c r="J49" s="6">
        <v>244</v>
      </c>
      <c r="K49" s="6">
        <v>56</v>
      </c>
      <c r="L49" s="6">
        <v>3266</v>
      </c>
      <c r="M49" s="6">
        <v>38.58</v>
      </c>
      <c r="N49" s="6">
        <v>4.7</v>
      </c>
      <c r="O49" s="6">
        <v>4.9999999999999822E-2</v>
      </c>
      <c r="P49" s="6">
        <v>39042.300000000003</v>
      </c>
      <c r="Q49" s="6" t="s">
        <v>52</v>
      </c>
    </row>
    <row r="50" spans="2:17" x14ac:dyDescent="0.25">
      <c r="B50" s="6">
        <v>34800</v>
      </c>
      <c r="C50" s="6" t="s">
        <v>237</v>
      </c>
      <c r="D50" s="6">
        <v>1</v>
      </c>
      <c r="E50" s="6">
        <v>0</v>
      </c>
      <c r="F50" s="6">
        <v>0</v>
      </c>
      <c r="G50" s="6">
        <v>0</v>
      </c>
      <c r="H50" s="6">
        <v>1300</v>
      </c>
      <c r="I50" s="6">
        <v>0</v>
      </c>
      <c r="J50" s="6">
        <v>434</v>
      </c>
      <c r="K50" s="6">
        <v>13</v>
      </c>
      <c r="L50" s="6">
        <v>6325</v>
      </c>
      <c r="M50" s="6">
        <v>36.82</v>
      </c>
      <c r="N50" s="6">
        <v>3.8</v>
      </c>
      <c r="O50" s="6">
        <v>-0.90000000000000036</v>
      </c>
      <c r="P50" s="6">
        <v>39042.300000000003</v>
      </c>
      <c r="Q50" s="6" t="s">
        <v>52</v>
      </c>
    </row>
    <row r="51" spans="2:17" x14ac:dyDescent="0.25">
      <c r="B51" s="6">
        <v>34900</v>
      </c>
      <c r="C51" s="6" t="s">
        <v>237</v>
      </c>
      <c r="D51" s="6">
        <v>0</v>
      </c>
      <c r="E51" s="6">
        <v>0</v>
      </c>
      <c r="F51" s="6">
        <v>0</v>
      </c>
      <c r="G51" s="6">
        <v>0</v>
      </c>
      <c r="H51" s="6">
        <v>0</v>
      </c>
      <c r="I51" s="6">
        <v>0</v>
      </c>
      <c r="J51" s="6">
        <v>426</v>
      </c>
      <c r="K51" s="6">
        <v>210</v>
      </c>
      <c r="L51" s="6">
        <v>4236</v>
      </c>
      <c r="M51" s="6">
        <v>36.74</v>
      </c>
      <c r="N51" s="6">
        <v>4.5</v>
      </c>
      <c r="O51" s="6">
        <v>-0.25</v>
      </c>
      <c r="P51" s="6">
        <v>39042.300000000003</v>
      </c>
      <c r="Q51" s="6" t="s">
        <v>52</v>
      </c>
    </row>
    <row r="52" spans="2:17" x14ac:dyDescent="0.25">
      <c r="B52" s="6">
        <v>35000</v>
      </c>
      <c r="C52" s="6" t="s">
        <v>237</v>
      </c>
      <c r="D52" s="6">
        <v>171</v>
      </c>
      <c r="E52" s="6">
        <v>-5</v>
      </c>
      <c r="F52" s="6">
        <v>42</v>
      </c>
      <c r="G52" s="6">
        <v>0</v>
      </c>
      <c r="H52" s="6">
        <v>4041.75</v>
      </c>
      <c r="I52" s="6">
        <v>178.55000000000018</v>
      </c>
      <c r="J52" s="6">
        <v>18348</v>
      </c>
      <c r="K52" s="6">
        <v>8268</v>
      </c>
      <c r="L52" s="6">
        <v>99675</v>
      </c>
      <c r="M52" s="6">
        <v>35.97</v>
      </c>
      <c r="N52" s="6">
        <v>4.55</v>
      </c>
      <c r="O52" s="6">
        <v>-0.5</v>
      </c>
      <c r="P52" s="6">
        <v>39042.300000000003</v>
      </c>
      <c r="Q52" s="6" t="s">
        <v>52</v>
      </c>
    </row>
    <row r="53" spans="2:17" x14ac:dyDescent="0.25">
      <c r="B53" s="6">
        <v>35100</v>
      </c>
      <c r="C53" s="6" t="s">
        <v>237</v>
      </c>
      <c r="D53" s="6">
        <v>0</v>
      </c>
      <c r="E53" s="6">
        <v>0</v>
      </c>
      <c r="F53" s="6">
        <v>0</v>
      </c>
      <c r="G53" s="6">
        <v>0</v>
      </c>
      <c r="H53" s="6">
        <v>2911.95</v>
      </c>
      <c r="I53" s="6">
        <v>0</v>
      </c>
      <c r="J53" s="6">
        <v>587</v>
      </c>
      <c r="K53" s="6">
        <v>298</v>
      </c>
      <c r="L53" s="6">
        <v>4478</v>
      </c>
      <c r="M53" s="6">
        <v>35.24</v>
      </c>
      <c r="N53" s="6">
        <v>4.6500000000000004</v>
      </c>
      <c r="O53" s="6">
        <v>-0.59999999999999964</v>
      </c>
      <c r="P53" s="6">
        <v>39042.300000000003</v>
      </c>
      <c r="Q53" s="6" t="s">
        <v>52</v>
      </c>
    </row>
    <row r="54" spans="2:17" x14ac:dyDescent="0.25">
      <c r="B54" s="6">
        <v>35200</v>
      </c>
      <c r="C54" s="6" t="s">
        <v>237</v>
      </c>
      <c r="D54" s="6">
        <v>2</v>
      </c>
      <c r="E54" s="6">
        <v>0</v>
      </c>
      <c r="F54" s="6">
        <v>0</v>
      </c>
      <c r="G54" s="6">
        <v>0</v>
      </c>
      <c r="H54" s="6">
        <v>1101</v>
      </c>
      <c r="I54" s="6">
        <v>0</v>
      </c>
      <c r="J54" s="6">
        <v>1141</v>
      </c>
      <c r="K54" s="6">
        <v>45</v>
      </c>
      <c r="L54" s="6">
        <v>8596</v>
      </c>
      <c r="M54" s="6">
        <v>33.43</v>
      </c>
      <c r="N54" s="6">
        <v>3.65</v>
      </c>
      <c r="O54" s="6">
        <v>-1.8000000000000005</v>
      </c>
      <c r="P54" s="6">
        <v>39042.300000000003</v>
      </c>
      <c r="Q54" s="6" t="s">
        <v>52</v>
      </c>
    </row>
    <row r="55" spans="2:17" x14ac:dyDescent="0.25">
      <c r="B55" s="6">
        <v>35300</v>
      </c>
      <c r="C55" s="6" t="s">
        <v>237</v>
      </c>
      <c r="D55" s="6">
        <v>2</v>
      </c>
      <c r="E55" s="6">
        <v>0</v>
      </c>
      <c r="F55" s="6">
        <v>0</v>
      </c>
      <c r="G55" s="6">
        <v>0</v>
      </c>
      <c r="H55" s="6">
        <v>2713.25</v>
      </c>
      <c r="I55" s="6">
        <v>0</v>
      </c>
      <c r="J55" s="6">
        <v>1065</v>
      </c>
      <c r="K55" s="6">
        <v>571</v>
      </c>
      <c r="L55" s="6">
        <v>7482</v>
      </c>
      <c r="M55" s="6">
        <v>33.42</v>
      </c>
      <c r="N55" s="6">
        <v>4.45</v>
      </c>
      <c r="O55" s="6">
        <v>-1.25</v>
      </c>
      <c r="P55" s="6">
        <v>39042.300000000003</v>
      </c>
      <c r="Q55" s="6" t="s">
        <v>52</v>
      </c>
    </row>
    <row r="56" spans="2:17" x14ac:dyDescent="0.25">
      <c r="B56" s="6">
        <v>35400</v>
      </c>
      <c r="C56" s="6" t="s">
        <v>237</v>
      </c>
      <c r="D56" s="6">
        <v>1</v>
      </c>
      <c r="E56" s="6">
        <v>0</v>
      </c>
      <c r="F56" s="6">
        <v>0</v>
      </c>
      <c r="G56" s="6">
        <v>0</v>
      </c>
      <c r="H56" s="6">
        <v>3425</v>
      </c>
      <c r="I56" s="6">
        <v>0</v>
      </c>
      <c r="J56" s="6">
        <v>1200</v>
      </c>
      <c r="K56" s="6">
        <v>607</v>
      </c>
      <c r="L56" s="6">
        <v>11042</v>
      </c>
      <c r="M56" s="6">
        <v>32.78</v>
      </c>
      <c r="N56" s="6">
        <v>4.6500000000000004</v>
      </c>
      <c r="O56" s="6">
        <v>-1.25</v>
      </c>
      <c r="P56" s="6">
        <v>39042.300000000003</v>
      </c>
      <c r="Q56" s="6" t="s">
        <v>52</v>
      </c>
    </row>
    <row r="57" spans="2:17" x14ac:dyDescent="0.25">
      <c r="B57" s="6">
        <v>35500</v>
      </c>
      <c r="C57" s="6" t="s">
        <v>237</v>
      </c>
      <c r="D57" s="6">
        <v>120</v>
      </c>
      <c r="E57" s="6">
        <v>-7</v>
      </c>
      <c r="F57" s="6">
        <v>10</v>
      </c>
      <c r="G57" s="6">
        <v>0</v>
      </c>
      <c r="H57" s="6">
        <v>3539.45</v>
      </c>
      <c r="I57" s="6">
        <v>147.84999999999991</v>
      </c>
      <c r="J57" s="6">
        <v>15107</v>
      </c>
      <c r="K57" s="6">
        <v>6391</v>
      </c>
      <c r="L57" s="6">
        <v>86376</v>
      </c>
      <c r="M57" s="6">
        <v>31.65</v>
      </c>
      <c r="N57" s="6">
        <v>4.3</v>
      </c>
      <c r="O57" s="6">
        <v>-1.95</v>
      </c>
      <c r="P57" s="6">
        <v>39042.300000000003</v>
      </c>
      <c r="Q57" s="6" t="s">
        <v>52</v>
      </c>
    </row>
    <row r="58" spans="2:17" x14ac:dyDescent="0.25">
      <c r="B58" s="6">
        <v>35600</v>
      </c>
      <c r="C58" s="6" t="s">
        <v>237</v>
      </c>
      <c r="D58" s="6">
        <v>3</v>
      </c>
      <c r="E58" s="6">
        <v>0</v>
      </c>
      <c r="F58" s="6">
        <v>0</v>
      </c>
      <c r="G58" s="6">
        <v>0</v>
      </c>
      <c r="H58" s="6">
        <v>3265</v>
      </c>
      <c r="I58" s="6">
        <v>0</v>
      </c>
      <c r="J58" s="6">
        <v>704</v>
      </c>
      <c r="K58" s="6">
        <v>-255</v>
      </c>
      <c r="L58" s="6">
        <v>14205</v>
      </c>
      <c r="M58" s="6">
        <v>31.01</v>
      </c>
      <c r="N58" s="6">
        <v>4.5</v>
      </c>
      <c r="O58" s="6">
        <v>-2.2000000000000002</v>
      </c>
      <c r="P58" s="6">
        <v>39042.300000000003</v>
      </c>
      <c r="Q58" s="6" t="s">
        <v>52</v>
      </c>
    </row>
    <row r="59" spans="2:17" x14ac:dyDescent="0.25">
      <c r="B59" s="6">
        <v>35700</v>
      </c>
      <c r="C59" s="6" t="s">
        <v>237</v>
      </c>
      <c r="D59" s="6">
        <v>6</v>
      </c>
      <c r="E59" s="6">
        <v>0</v>
      </c>
      <c r="F59" s="6">
        <v>0</v>
      </c>
      <c r="G59" s="6">
        <v>0</v>
      </c>
      <c r="H59" s="6">
        <v>3179.7</v>
      </c>
      <c r="I59" s="6">
        <v>24.399999999999636</v>
      </c>
      <c r="J59" s="6">
        <v>2842</v>
      </c>
      <c r="K59" s="6">
        <v>1771</v>
      </c>
      <c r="L59" s="6">
        <v>17538</v>
      </c>
      <c r="M59" s="6">
        <v>31.26</v>
      </c>
      <c r="N59" s="6">
        <v>5.9</v>
      </c>
      <c r="O59" s="6">
        <v>-1.1499999999999997</v>
      </c>
      <c r="P59" s="6">
        <v>39042.300000000003</v>
      </c>
      <c r="Q59" s="6" t="s">
        <v>52</v>
      </c>
    </row>
    <row r="60" spans="2:17" x14ac:dyDescent="0.25">
      <c r="B60" s="6">
        <v>35800</v>
      </c>
      <c r="C60" s="6" t="s">
        <v>237</v>
      </c>
      <c r="D60" s="6">
        <v>5</v>
      </c>
      <c r="E60" s="6">
        <v>0</v>
      </c>
      <c r="F60" s="6">
        <v>0</v>
      </c>
      <c r="G60" s="6">
        <v>0</v>
      </c>
      <c r="H60" s="6">
        <v>2568</v>
      </c>
      <c r="I60" s="6">
        <v>0</v>
      </c>
      <c r="J60" s="6">
        <v>1854</v>
      </c>
      <c r="K60" s="6">
        <v>326</v>
      </c>
      <c r="L60" s="6">
        <v>20764</v>
      </c>
      <c r="M60" s="6">
        <v>29.65</v>
      </c>
      <c r="N60" s="6">
        <v>4.8499999999999996</v>
      </c>
      <c r="O60" s="6">
        <v>-2.6000000000000005</v>
      </c>
      <c r="P60" s="6">
        <v>39042.300000000003</v>
      </c>
      <c r="Q60" s="6" t="s">
        <v>52</v>
      </c>
    </row>
    <row r="61" spans="2:17" x14ac:dyDescent="0.25">
      <c r="B61" s="6">
        <v>35900</v>
      </c>
      <c r="C61" s="6" t="s">
        <v>237</v>
      </c>
      <c r="D61" s="6">
        <v>5</v>
      </c>
      <c r="E61" s="6">
        <v>0</v>
      </c>
      <c r="F61" s="6">
        <v>0</v>
      </c>
      <c r="G61" s="6">
        <v>0</v>
      </c>
      <c r="H61" s="6">
        <v>2969.4</v>
      </c>
      <c r="I61" s="6">
        <v>0</v>
      </c>
      <c r="J61" s="6">
        <v>1888</v>
      </c>
      <c r="K61" s="6">
        <v>659</v>
      </c>
      <c r="L61" s="6">
        <v>21120</v>
      </c>
      <c r="M61" s="6">
        <v>30.27</v>
      </c>
      <c r="N61" s="6">
        <v>7</v>
      </c>
      <c r="O61" s="6">
        <v>-0.75</v>
      </c>
      <c r="P61" s="6">
        <v>39042.300000000003</v>
      </c>
      <c r="Q61" s="6" t="s">
        <v>52</v>
      </c>
    </row>
    <row r="62" spans="2:17" x14ac:dyDescent="0.25">
      <c r="B62" s="6">
        <v>36000</v>
      </c>
      <c r="C62" s="6" t="s">
        <v>237</v>
      </c>
      <c r="D62" s="6">
        <v>477</v>
      </c>
      <c r="E62" s="6">
        <v>-23</v>
      </c>
      <c r="F62" s="6">
        <v>59</v>
      </c>
      <c r="G62" s="6">
        <v>0</v>
      </c>
      <c r="H62" s="6">
        <v>3053.6</v>
      </c>
      <c r="I62" s="6">
        <v>159.04999999999973</v>
      </c>
      <c r="J62" s="6">
        <v>35823</v>
      </c>
      <c r="K62" s="6">
        <v>17001</v>
      </c>
      <c r="L62" s="6">
        <v>253571</v>
      </c>
      <c r="M62" s="6">
        <v>29.23</v>
      </c>
      <c r="N62" s="6">
        <v>6.7</v>
      </c>
      <c r="O62" s="6">
        <v>-1.6000000000000003</v>
      </c>
      <c r="P62" s="6">
        <v>39042.300000000003</v>
      </c>
      <c r="Q62" s="6" t="s">
        <v>52</v>
      </c>
    </row>
    <row r="63" spans="2:17" x14ac:dyDescent="0.25">
      <c r="B63" s="6">
        <v>36100</v>
      </c>
      <c r="C63" s="6" t="s">
        <v>237</v>
      </c>
      <c r="D63" s="6">
        <v>11</v>
      </c>
      <c r="E63" s="6">
        <v>0</v>
      </c>
      <c r="F63" s="6">
        <v>2</v>
      </c>
      <c r="G63" s="6">
        <v>0</v>
      </c>
      <c r="H63" s="6">
        <v>2715.15</v>
      </c>
      <c r="I63" s="6">
        <v>-59.849999999999909</v>
      </c>
      <c r="J63" s="6">
        <v>1981</v>
      </c>
      <c r="K63" s="6">
        <v>875</v>
      </c>
      <c r="L63" s="6">
        <v>29796</v>
      </c>
      <c r="M63" s="6">
        <v>28.23</v>
      </c>
      <c r="N63" s="6">
        <v>6.45</v>
      </c>
      <c r="O63" s="6">
        <v>-2.2499999999999991</v>
      </c>
      <c r="P63" s="6">
        <v>39042.300000000003</v>
      </c>
      <c r="Q63" s="6" t="s">
        <v>52</v>
      </c>
    </row>
    <row r="64" spans="2:17" x14ac:dyDescent="0.25">
      <c r="B64" s="6">
        <v>36200</v>
      </c>
      <c r="C64" s="6" t="s">
        <v>237</v>
      </c>
      <c r="D64" s="6">
        <v>13</v>
      </c>
      <c r="E64" s="6">
        <v>0</v>
      </c>
      <c r="F64" s="6">
        <v>5</v>
      </c>
      <c r="G64" s="6">
        <v>0</v>
      </c>
      <c r="H64" s="6">
        <v>2839</v>
      </c>
      <c r="I64" s="6">
        <v>155</v>
      </c>
      <c r="J64" s="6">
        <v>5076</v>
      </c>
      <c r="K64" s="6">
        <v>2650</v>
      </c>
      <c r="L64" s="6">
        <v>40081</v>
      </c>
      <c r="M64" s="6">
        <v>27.75</v>
      </c>
      <c r="N64" s="6">
        <v>7.1</v>
      </c>
      <c r="O64" s="6">
        <v>-2.3000000000000007</v>
      </c>
      <c r="P64" s="6">
        <v>39042.300000000003</v>
      </c>
      <c r="Q64" s="6" t="s">
        <v>52</v>
      </c>
    </row>
    <row r="65" spans="2:17" x14ac:dyDescent="0.25">
      <c r="B65" s="6">
        <v>36300</v>
      </c>
      <c r="C65" s="6" t="s">
        <v>237</v>
      </c>
      <c r="D65" s="6">
        <v>47</v>
      </c>
      <c r="E65" s="6">
        <v>1</v>
      </c>
      <c r="F65" s="6">
        <v>2</v>
      </c>
      <c r="G65" s="6">
        <v>0</v>
      </c>
      <c r="H65" s="6">
        <v>2612.15</v>
      </c>
      <c r="I65" s="6">
        <v>19.450000000000273</v>
      </c>
      <c r="J65" s="6">
        <v>5059</v>
      </c>
      <c r="K65" s="6">
        <v>1513</v>
      </c>
      <c r="L65" s="6">
        <v>37394</v>
      </c>
      <c r="M65" s="6">
        <v>26.67</v>
      </c>
      <c r="N65" s="6">
        <v>6.7</v>
      </c>
      <c r="O65" s="6">
        <v>-3.3</v>
      </c>
      <c r="P65" s="6">
        <v>39042.300000000003</v>
      </c>
      <c r="Q65" s="6" t="s">
        <v>52</v>
      </c>
    </row>
    <row r="66" spans="2:17" x14ac:dyDescent="0.25">
      <c r="B66" s="6">
        <v>36400</v>
      </c>
      <c r="C66" s="6" t="s">
        <v>237</v>
      </c>
      <c r="D66" s="6">
        <v>22</v>
      </c>
      <c r="E66" s="6">
        <v>-1</v>
      </c>
      <c r="F66" s="6">
        <v>6</v>
      </c>
      <c r="G66" s="6">
        <v>0</v>
      </c>
      <c r="H66" s="6">
        <v>2620</v>
      </c>
      <c r="I66" s="6">
        <v>140</v>
      </c>
      <c r="J66" s="6">
        <v>3351</v>
      </c>
      <c r="K66" s="6">
        <v>1129</v>
      </c>
      <c r="L66" s="6">
        <v>45322</v>
      </c>
      <c r="M66" s="6">
        <v>26.63</v>
      </c>
      <c r="N66" s="6">
        <v>8.3000000000000007</v>
      </c>
      <c r="O66" s="6">
        <v>-2.6999999999999993</v>
      </c>
      <c r="P66" s="6">
        <v>39042.300000000003</v>
      </c>
      <c r="Q66" s="6" t="s">
        <v>52</v>
      </c>
    </row>
    <row r="67" spans="2:17" x14ac:dyDescent="0.25">
      <c r="B67" s="6">
        <v>36500</v>
      </c>
      <c r="C67" s="6" t="s">
        <v>237</v>
      </c>
      <c r="D67" s="6">
        <v>412</v>
      </c>
      <c r="E67" s="6">
        <v>-21</v>
      </c>
      <c r="F67" s="6">
        <v>66</v>
      </c>
      <c r="G67" s="6">
        <v>0</v>
      </c>
      <c r="H67" s="6">
        <v>2540</v>
      </c>
      <c r="I67" s="6">
        <v>142.19999999999982</v>
      </c>
      <c r="J67" s="6">
        <v>27202</v>
      </c>
      <c r="K67" s="6">
        <v>8741</v>
      </c>
      <c r="L67" s="6">
        <v>254339</v>
      </c>
      <c r="M67" s="6">
        <v>25.42</v>
      </c>
      <c r="N67" s="6">
        <v>7.6</v>
      </c>
      <c r="O67" s="6">
        <v>-4.3000000000000007</v>
      </c>
      <c r="P67" s="6">
        <v>39042.300000000003</v>
      </c>
      <c r="Q67" s="6" t="s">
        <v>52</v>
      </c>
    </row>
    <row r="68" spans="2:17" x14ac:dyDescent="0.25">
      <c r="B68" s="6">
        <v>36600</v>
      </c>
      <c r="C68" s="6" t="s">
        <v>237</v>
      </c>
      <c r="D68" s="6">
        <v>69</v>
      </c>
      <c r="E68" s="6">
        <v>6</v>
      </c>
      <c r="F68" s="6">
        <v>11</v>
      </c>
      <c r="G68" s="6">
        <v>0</v>
      </c>
      <c r="H68" s="6">
        <v>2400</v>
      </c>
      <c r="I68" s="6">
        <v>128.09999999999991</v>
      </c>
      <c r="J68" s="6">
        <v>4666</v>
      </c>
      <c r="K68" s="6">
        <v>2055</v>
      </c>
      <c r="L68" s="6">
        <v>63669</v>
      </c>
      <c r="M68" s="6">
        <v>25.35</v>
      </c>
      <c r="N68" s="6">
        <v>9.4</v>
      </c>
      <c r="O68" s="6">
        <v>-3.4499999999999993</v>
      </c>
      <c r="P68" s="6">
        <v>39042.300000000003</v>
      </c>
      <c r="Q68" s="6" t="s">
        <v>52</v>
      </c>
    </row>
    <row r="69" spans="2:17" x14ac:dyDescent="0.25">
      <c r="B69" s="6">
        <v>36700</v>
      </c>
      <c r="C69" s="6" t="s">
        <v>237</v>
      </c>
      <c r="D69" s="6">
        <v>27</v>
      </c>
      <c r="E69" s="6">
        <v>0</v>
      </c>
      <c r="F69" s="6">
        <v>0</v>
      </c>
      <c r="G69" s="6">
        <v>0</v>
      </c>
      <c r="H69" s="6">
        <v>2200</v>
      </c>
      <c r="I69" s="6">
        <v>-8.1999999999998181</v>
      </c>
      <c r="J69" s="6">
        <v>5567</v>
      </c>
      <c r="K69" s="6">
        <v>2335</v>
      </c>
      <c r="L69" s="6">
        <v>60036</v>
      </c>
      <c r="M69" s="6">
        <v>24.63</v>
      </c>
      <c r="N69" s="6">
        <v>9.85</v>
      </c>
      <c r="O69" s="6">
        <v>-4.5</v>
      </c>
      <c r="P69" s="6">
        <v>39042.300000000003</v>
      </c>
      <c r="Q69" s="6" t="s">
        <v>52</v>
      </c>
    </row>
    <row r="70" spans="2:17" x14ac:dyDescent="0.25">
      <c r="B70" s="6">
        <v>36800</v>
      </c>
      <c r="C70" s="6" t="s">
        <v>237</v>
      </c>
      <c r="D70" s="6">
        <v>72</v>
      </c>
      <c r="E70" s="6">
        <v>21</v>
      </c>
      <c r="F70" s="6">
        <v>34</v>
      </c>
      <c r="G70" s="6">
        <v>0</v>
      </c>
      <c r="H70" s="6">
        <v>2180</v>
      </c>
      <c r="I70" s="6">
        <v>88.300000000000182</v>
      </c>
      <c r="J70" s="6">
        <v>9990</v>
      </c>
      <c r="K70" s="6">
        <v>-1087</v>
      </c>
      <c r="L70" s="6">
        <v>102132</v>
      </c>
      <c r="M70" s="6">
        <v>23.98</v>
      </c>
      <c r="N70" s="6">
        <v>10.5</v>
      </c>
      <c r="O70" s="6">
        <v>-5.15</v>
      </c>
      <c r="P70" s="6">
        <v>39042.300000000003</v>
      </c>
      <c r="Q70" s="6" t="s">
        <v>52</v>
      </c>
    </row>
    <row r="71" spans="2:17" x14ac:dyDescent="0.25">
      <c r="B71" s="6">
        <v>36900</v>
      </c>
      <c r="C71" s="6" t="s">
        <v>237</v>
      </c>
      <c r="D71" s="6">
        <v>69</v>
      </c>
      <c r="E71" s="6">
        <v>5</v>
      </c>
      <c r="F71" s="6">
        <v>11</v>
      </c>
      <c r="G71" s="6">
        <v>0</v>
      </c>
      <c r="H71" s="6">
        <v>2053.4499999999998</v>
      </c>
      <c r="I71" s="6">
        <v>38.149999999999864</v>
      </c>
      <c r="J71" s="6">
        <v>6487</v>
      </c>
      <c r="K71" s="6">
        <v>3629</v>
      </c>
      <c r="L71" s="6">
        <v>67699</v>
      </c>
      <c r="M71" s="6">
        <v>23.26</v>
      </c>
      <c r="N71" s="6">
        <v>11.05</v>
      </c>
      <c r="O71" s="6">
        <v>-6.8999999999999986</v>
      </c>
      <c r="P71" s="6">
        <v>39042.300000000003</v>
      </c>
      <c r="Q71" s="6" t="s">
        <v>52</v>
      </c>
    </row>
    <row r="72" spans="2:17" x14ac:dyDescent="0.25">
      <c r="B72" s="6">
        <v>37000</v>
      </c>
      <c r="C72" s="6" t="s">
        <v>237</v>
      </c>
      <c r="D72" s="6">
        <v>1133</v>
      </c>
      <c r="E72" s="6">
        <v>43</v>
      </c>
      <c r="F72" s="6">
        <v>839</v>
      </c>
      <c r="G72" s="6">
        <v>0</v>
      </c>
      <c r="H72" s="6">
        <v>2068.0500000000002</v>
      </c>
      <c r="I72" s="6">
        <v>159.85000000000014</v>
      </c>
      <c r="J72" s="6">
        <v>49203</v>
      </c>
      <c r="K72" s="6">
        <v>18010</v>
      </c>
      <c r="L72" s="6">
        <v>354320</v>
      </c>
      <c r="M72" s="6">
        <v>22.56</v>
      </c>
      <c r="N72" s="6">
        <v>11.7</v>
      </c>
      <c r="O72" s="6">
        <v>-8.6999999999999993</v>
      </c>
      <c r="P72" s="6">
        <v>39042.300000000003</v>
      </c>
      <c r="Q72" s="6" t="s">
        <v>52</v>
      </c>
    </row>
    <row r="73" spans="2:17" x14ac:dyDescent="0.25">
      <c r="B73" s="6">
        <v>37100</v>
      </c>
      <c r="C73" s="6" t="s">
        <v>237</v>
      </c>
      <c r="D73" s="6">
        <v>129</v>
      </c>
      <c r="E73" s="6">
        <v>22</v>
      </c>
      <c r="F73" s="6">
        <v>87</v>
      </c>
      <c r="G73" s="6">
        <v>0</v>
      </c>
      <c r="H73" s="6">
        <v>1946.35</v>
      </c>
      <c r="I73" s="6">
        <v>132.94999999999982</v>
      </c>
      <c r="J73" s="6">
        <v>5323</v>
      </c>
      <c r="K73" s="6">
        <v>2998</v>
      </c>
      <c r="L73" s="6">
        <v>85779</v>
      </c>
      <c r="M73" s="6">
        <v>21.68</v>
      </c>
      <c r="N73" s="6">
        <v>11.85</v>
      </c>
      <c r="O73" s="6">
        <v>-11.15</v>
      </c>
      <c r="P73" s="6">
        <v>39042.300000000003</v>
      </c>
      <c r="Q73" s="6" t="s">
        <v>52</v>
      </c>
    </row>
    <row r="74" spans="2:17" x14ac:dyDescent="0.25">
      <c r="B74" s="6">
        <v>37200</v>
      </c>
      <c r="C74" s="6" t="s">
        <v>237</v>
      </c>
      <c r="D74" s="6">
        <v>380</v>
      </c>
      <c r="E74" s="6">
        <v>-13</v>
      </c>
      <c r="F74" s="6">
        <v>44</v>
      </c>
      <c r="G74" s="6">
        <v>0</v>
      </c>
      <c r="H74" s="6">
        <v>1852</v>
      </c>
      <c r="I74" s="6">
        <v>130.70000000000005</v>
      </c>
      <c r="J74" s="6">
        <v>21332</v>
      </c>
      <c r="K74" s="6">
        <v>15612</v>
      </c>
      <c r="L74" s="6">
        <v>143937</v>
      </c>
      <c r="M74" s="6">
        <v>21.02</v>
      </c>
      <c r="N74" s="6">
        <v>12.75</v>
      </c>
      <c r="O74" s="6">
        <v>-13.6</v>
      </c>
      <c r="P74" s="6">
        <v>39042.300000000003</v>
      </c>
      <c r="Q74" s="6" t="s">
        <v>52</v>
      </c>
    </row>
    <row r="75" spans="2:17" x14ac:dyDescent="0.25">
      <c r="B75" s="6">
        <v>37300</v>
      </c>
      <c r="C75" s="6" t="s">
        <v>237</v>
      </c>
      <c r="D75" s="6">
        <v>122</v>
      </c>
      <c r="E75" s="6">
        <v>17</v>
      </c>
      <c r="F75" s="6">
        <v>169</v>
      </c>
      <c r="G75" s="6">
        <v>0</v>
      </c>
      <c r="H75" s="6">
        <v>1754.65</v>
      </c>
      <c r="I75" s="6">
        <v>123.85000000000014</v>
      </c>
      <c r="J75" s="6">
        <v>12477</v>
      </c>
      <c r="K75" s="6">
        <v>6400</v>
      </c>
      <c r="L75" s="6">
        <v>119265</v>
      </c>
      <c r="M75" s="6">
        <v>20.98</v>
      </c>
      <c r="N75" s="6">
        <v>16.25</v>
      </c>
      <c r="O75" s="6">
        <v>-13.75</v>
      </c>
      <c r="P75" s="6">
        <v>39042.300000000003</v>
      </c>
      <c r="Q75" s="6" t="s">
        <v>52</v>
      </c>
    </row>
    <row r="76" spans="2:17" x14ac:dyDescent="0.25">
      <c r="B76" s="6">
        <v>37400</v>
      </c>
      <c r="C76" s="6" t="s">
        <v>237</v>
      </c>
      <c r="D76" s="6">
        <v>305</v>
      </c>
      <c r="E76" s="6">
        <v>-3</v>
      </c>
      <c r="F76" s="6">
        <v>49</v>
      </c>
      <c r="G76" s="6">
        <v>0</v>
      </c>
      <c r="H76" s="6">
        <v>1653.35</v>
      </c>
      <c r="I76" s="6">
        <v>126.14999999999986</v>
      </c>
      <c r="J76" s="6">
        <v>12274</v>
      </c>
      <c r="K76" s="6">
        <v>5592</v>
      </c>
      <c r="L76" s="6">
        <v>140451</v>
      </c>
      <c r="M76" s="6">
        <v>19.95</v>
      </c>
      <c r="N76" s="6">
        <v>16</v>
      </c>
      <c r="O76" s="6">
        <v>-18.899999999999999</v>
      </c>
      <c r="P76" s="6">
        <v>39042.300000000003</v>
      </c>
      <c r="Q76" s="6" t="s">
        <v>52</v>
      </c>
    </row>
    <row r="77" spans="2:17" x14ac:dyDescent="0.25">
      <c r="B77" s="6">
        <v>37500</v>
      </c>
      <c r="C77" s="6" t="s">
        <v>237</v>
      </c>
      <c r="D77" s="6">
        <v>2252</v>
      </c>
      <c r="E77" s="6">
        <v>62</v>
      </c>
      <c r="F77" s="6">
        <v>2661</v>
      </c>
      <c r="G77" s="6">
        <v>0</v>
      </c>
      <c r="H77" s="6">
        <v>1585.3</v>
      </c>
      <c r="I77" s="6">
        <v>153.79999999999995</v>
      </c>
      <c r="J77" s="6">
        <v>52649</v>
      </c>
      <c r="K77" s="6">
        <v>23920</v>
      </c>
      <c r="L77" s="6">
        <v>397070</v>
      </c>
      <c r="M77" s="6">
        <v>20</v>
      </c>
      <c r="N77" s="6">
        <v>20.9</v>
      </c>
      <c r="O77" s="6">
        <v>-20.149999999999999</v>
      </c>
      <c r="P77" s="6">
        <v>39042.300000000003</v>
      </c>
      <c r="Q77" s="6" t="s">
        <v>52</v>
      </c>
    </row>
    <row r="78" spans="2:17" x14ac:dyDescent="0.25">
      <c r="B78" s="6">
        <v>37600</v>
      </c>
      <c r="C78" s="6" t="s">
        <v>237</v>
      </c>
      <c r="D78" s="6">
        <v>1320</v>
      </c>
      <c r="E78" s="6">
        <v>-32</v>
      </c>
      <c r="F78" s="6">
        <v>329</v>
      </c>
      <c r="G78" s="6">
        <v>0</v>
      </c>
      <c r="H78" s="6">
        <v>1481.25</v>
      </c>
      <c r="I78" s="6">
        <v>156.54999999999995</v>
      </c>
      <c r="J78" s="6">
        <v>16944</v>
      </c>
      <c r="K78" s="6">
        <v>9721</v>
      </c>
      <c r="L78" s="6">
        <v>186495</v>
      </c>
      <c r="M78" s="6">
        <v>19.05</v>
      </c>
      <c r="N78" s="6">
        <v>21.3</v>
      </c>
      <c r="O78" s="6">
        <v>-26.55</v>
      </c>
      <c r="P78" s="6">
        <v>39042.300000000003</v>
      </c>
      <c r="Q78" s="6" t="s">
        <v>52</v>
      </c>
    </row>
    <row r="79" spans="2:17" x14ac:dyDescent="0.25">
      <c r="B79" s="6">
        <v>37700</v>
      </c>
      <c r="C79" s="6" t="s">
        <v>237</v>
      </c>
      <c r="D79" s="6">
        <v>565</v>
      </c>
      <c r="E79" s="6">
        <v>30</v>
      </c>
      <c r="F79" s="6">
        <v>279</v>
      </c>
      <c r="G79" s="6">
        <v>0</v>
      </c>
      <c r="H79" s="6">
        <v>1386.3</v>
      </c>
      <c r="I79" s="6">
        <v>143.89999999999986</v>
      </c>
      <c r="J79" s="6">
        <v>20745</v>
      </c>
      <c r="K79" s="6">
        <v>14684</v>
      </c>
      <c r="L79" s="6">
        <v>192408</v>
      </c>
      <c r="M79" s="6">
        <v>18.82</v>
      </c>
      <c r="N79" s="6">
        <v>26</v>
      </c>
      <c r="O79" s="6">
        <v>-29.6</v>
      </c>
      <c r="P79" s="6">
        <v>39042.300000000003</v>
      </c>
      <c r="Q79" s="6" t="s">
        <v>52</v>
      </c>
    </row>
    <row r="80" spans="2:17" x14ac:dyDescent="0.25">
      <c r="B80" s="6">
        <v>37800</v>
      </c>
      <c r="C80" s="6" t="s">
        <v>237</v>
      </c>
      <c r="D80" s="6">
        <v>589</v>
      </c>
      <c r="E80" s="6">
        <v>20</v>
      </c>
      <c r="F80" s="6">
        <v>1206</v>
      </c>
      <c r="G80" s="6">
        <v>0</v>
      </c>
      <c r="H80" s="6">
        <v>1284.3</v>
      </c>
      <c r="I80" s="6">
        <v>130.04999999999995</v>
      </c>
      <c r="J80" s="6">
        <v>16463</v>
      </c>
      <c r="K80" s="6">
        <v>7513</v>
      </c>
      <c r="L80" s="6">
        <v>253184</v>
      </c>
      <c r="M80" s="6">
        <v>18.38</v>
      </c>
      <c r="N80" s="6">
        <v>30.2</v>
      </c>
      <c r="O80" s="6">
        <v>-35.099999999999994</v>
      </c>
      <c r="P80" s="6">
        <v>39042.300000000003</v>
      </c>
      <c r="Q80" s="6" t="s">
        <v>52</v>
      </c>
    </row>
    <row r="81" spans="2:17" x14ac:dyDescent="0.25">
      <c r="B81" s="6">
        <v>37900</v>
      </c>
      <c r="C81" s="6" t="s">
        <v>237</v>
      </c>
      <c r="D81" s="6">
        <v>538</v>
      </c>
      <c r="E81" s="6">
        <v>5</v>
      </c>
      <c r="F81" s="6">
        <v>1762</v>
      </c>
      <c r="G81" s="6">
        <v>0</v>
      </c>
      <c r="H81" s="6">
        <v>1195.95</v>
      </c>
      <c r="I81" s="6">
        <v>127.79999999999995</v>
      </c>
      <c r="J81" s="6">
        <v>14656</v>
      </c>
      <c r="K81" s="6">
        <v>6919</v>
      </c>
      <c r="L81" s="6">
        <v>238444</v>
      </c>
      <c r="M81" s="6">
        <v>18.23</v>
      </c>
      <c r="N81" s="6">
        <v>37.5</v>
      </c>
      <c r="O81" s="6">
        <v>-38.349999999999994</v>
      </c>
      <c r="P81" s="6">
        <v>39042.300000000003</v>
      </c>
      <c r="Q81" s="6" t="s">
        <v>52</v>
      </c>
    </row>
    <row r="82" spans="2:17" x14ac:dyDescent="0.25">
      <c r="B82" s="6">
        <v>38000</v>
      </c>
      <c r="C82" s="6" t="s">
        <v>237</v>
      </c>
      <c r="D82" s="6">
        <v>8660</v>
      </c>
      <c r="E82" s="6">
        <v>236</v>
      </c>
      <c r="F82" s="6">
        <v>32468</v>
      </c>
      <c r="G82" s="6">
        <v>0</v>
      </c>
      <c r="H82" s="6">
        <v>1102.05</v>
      </c>
      <c r="I82" s="6">
        <v>118.44999999999992</v>
      </c>
      <c r="J82" s="6">
        <v>64634</v>
      </c>
      <c r="K82" s="6">
        <v>16545</v>
      </c>
      <c r="L82" s="6">
        <v>873928</v>
      </c>
      <c r="M82" s="6">
        <v>17.62</v>
      </c>
      <c r="N82" s="6">
        <v>42.1</v>
      </c>
      <c r="O82" s="6">
        <v>-46.999999999999993</v>
      </c>
      <c r="P82" s="6">
        <v>39042.300000000003</v>
      </c>
      <c r="Q82" s="6" t="s">
        <v>52</v>
      </c>
    </row>
    <row r="83" spans="2:17" x14ac:dyDescent="0.25">
      <c r="B83" s="6">
        <v>38100</v>
      </c>
      <c r="C83" s="6" t="s">
        <v>237</v>
      </c>
      <c r="D83" s="6">
        <v>744</v>
      </c>
      <c r="E83" s="6">
        <v>32</v>
      </c>
      <c r="F83" s="6">
        <v>3399</v>
      </c>
      <c r="G83" s="6">
        <v>11.77</v>
      </c>
      <c r="H83" s="6">
        <v>1014.8</v>
      </c>
      <c r="I83" s="6">
        <v>114.75</v>
      </c>
      <c r="J83" s="6">
        <v>14011</v>
      </c>
      <c r="K83" s="6">
        <v>7109</v>
      </c>
      <c r="L83" s="6">
        <v>289544</v>
      </c>
      <c r="M83" s="6">
        <v>17.29</v>
      </c>
      <c r="N83" s="6">
        <v>50.3</v>
      </c>
      <c r="O83" s="6">
        <v>-54.2</v>
      </c>
      <c r="P83" s="6">
        <v>39042.300000000003</v>
      </c>
      <c r="Q83" s="6" t="s">
        <v>52</v>
      </c>
    </row>
    <row r="84" spans="2:17" x14ac:dyDescent="0.25">
      <c r="B84" s="6">
        <v>38200</v>
      </c>
      <c r="C84" s="6" t="s">
        <v>237</v>
      </c>
      <c r="D84" s="6">
        <v>2064</v>
      </c>
      <c r="E84" s="6">
        <v>85</v>
      </c>
      <c r="F84" s="6">
        <v>10786</v>
      </c>
      <c r="G84" s="6">
        <v>11.98</v>
      </c>
      <c r="H84" s="6">
        <v>921.35</v>
      </c>
      <c r="I84" s="6">
        <v>104.70000000000005</v>
      </c>
      <c r="J84" s="6">
        <v>19531</v>
      </c>
      <c r="K84" s="6">
        <v>9261</v>
      </c>
      <c r="L84" s="6">
        <v>363169</v>
      </c>
      <c r="M84" s="6">
        <v>17.14</v>
      </c>
      <c r="N84" s="6">
        <v>62</v>
      </c>
      <c r="O84" s="6">
        <v>-60.599999999999994</v>
      </c>
      <c r="P84" s="6">
        <v>39042.300000000003</v>
      </c>
      <c r="Q84" s="6" t="s">
        <v>52</v>
      </c>
    </row>
    <row r="85" spans="2:17" x14ac:dyDescent="0.25">
      <c r="B85" s="6">
        <v>38300</v>
      </c>
      <c r="C85" s="6" t="s">
        <v>237</v>
      </c>
      <c r="D85" s="6">
        <v>1725</v>
      </c>
      <c r="E85" s="6">
        <v>67</v>
      </c>
      <c r="F85" s="6">
        <v>21371</v>
      </c>
      <c r="G85" s="6">
        <v>12.74</v>
      </c>
      <c r="H85" s="6">
        <v>835.45</v>
      </c>
      <c r="I85" s="6">
        <v>95.650000000000077</v>
      </c>
      <c r="J85" s="6">
        <v>27896</v>
      </c>
      <c r="K85" s="6">
        <v>11969</v>
      </c>
      <c r="L85" s="6">
        <v>405058</v>
      </c>
      <c r="M85" s="6">
        <v>16.829999999999998</v>
      </c>
      <c r="N85" s="6">
        <v>74.099999999999994</v>
      </c>
      <c r="O85" s="6">
        <v>-69.099999999999994</v>
      </c>
      <c r="P85" s="6">
        <v>39042.300000000003</v>
      </c>
      <c r="Q85" s="6" t="s">
        <v>52</v>
      </c>
    </row>
    <row r="86" spans="2:17" x14ac:dyDescent="0.25">
      <c r="B86" s="6">
        <v>38400</v>
      </c>
      <c r="C86" s="6" t="s">
        <v>237</v>
      </c>
      <c r="D86" s="6">
        <v>3325</v>
      </c>
      <c r="E86" s="6">
        <v>1676</v>
      </c>
      <c r="F86" s="6">
        <v>35319</v>
      </c>
      <c r="G86" s="6">
        <v>13.42</v>
      </c>
      <c r="H86" s="6">
        <v>754.85</v>
      </c>
      <c r="I86" s="6">
        <v>88.800000000000068</v>
      </c>
      <c r="J86" s="6">
        <v>22877</v>
      </c>
      <c r="K86" s="6">
        <v>11958</v>
      </c>
      <c r="L86" s="6">
        <v>400771</v>
      </c>
      <c r="M86" s="6">
        <v>16.57</v>
      </c>
      <c r="N86" s="6">
        <v>89</v>
      </c>
      <c r="O86" s="6">
        <v>-79.599999999999994</v>
      </c>
      <c r="P86" s="6">
        <v>39042.300000000003</v>
      </c>
      <c r="Q86" s="6" t="s">
        <v>52</v>
      </c>
    </row>
    <row r="87" spans="2:17" x14ac:dyDescent="0.25">
      <c r="B87" s="6">
        <v>38500</v>
      </c>
      <c r="C87" s="6" t="s">
        <v>237</v>
      </c>
      <c r="D87" s="6">
        <v>12139</v>
      </c>
      <c r="E87" s="6">
        <v>1151</v>
      </c>
      <c r="F87" s="6">
        <v>303554</v>
      </c>
      <c r="G87" s="6">
        <v>13.69</v>
      </c>
      <c r="H87" s="6">
        <v>675</v>
      </c>
      <c r="I87" s="6">
        <v>79.149999999999977</v>
      </c>
      <c r="J87" s="6">
        <v>55058</v>
      </c>
      <c r="K87" s="6">
        <v>24593</v>
      </c>
      <c r="L87" s="6">
        <v>1174936</v>
      </c>
      <c r="M87" s="6">
        <v>16.28</v>
      </c>
      <c r="N87" s="6">
        <v>106.25</v>
      </c>
      <c r="O87" s="6">
        <v>-90.5</v>
      </c>
      <c r="P87" s="6">
        <v>39042.300000000003</v>
      </c>
      <c r="Q87" s="6" t="s">
        <v>52</v>
      </c>
    </row>
    <row r="88" spans="2:17" x14ac:dyDescent="0.25">
      <c r="B88" s="6">
        <v>38600</v>
      </c>
      <c r="C88" s="6" t="s">
        <v>237</v>
      </c>
      <c r="D88" s="6">
        <v>5370</v>
      </c>
      <c r="E88" s="6">
        <v>2461</v>
      </c>
      <c r="F88" s="6">
        <v>192635</v>
      </c>
      <c r="G88" s="6">
        <v>12.85</v>
      </c>
      <c r="H88" s="6">
        <v>583.70000000000005</v>
      </c>
      <c r="I88" s="6">
        <v>55.900000000000091</v>
      </c>
      <c r="J88" s="6">
        <v>17977</v>
      </c>
      <c r="K88" s="6">
        <v>10541</v>
      </c>
      <c r="L88" s="6">
        <v>559089</v>
      </c>
      <c r="M88" s="6">
        <v>15.9</v>
      </c>
      <c r="N88" s="6">
        <v>125</v>
      </c>
      <c r="O88" s="6">
        <v>-104.2</v>
      </c>
      <c r="P88" s="6">
        <v>39042.300000000003</v>
      </c>
      <c r="Q88" s="6" t="s">
        <v>52</v>
      </c>
    </row>
    <row r="89" spans="2:17" x14ac:dyDescent="0.25">
      <c r="B89" s="6">
        <v>38700</v>
      </c>
      <c r="C89" s="6" t="s">
        <v>237</v>
      </c>
      <c r="D89" s="6">
        <v>7244</v>
      </c>
      <c r="E89" s="6">
        <v>2268</v>
      </c>
      <c r="F89" s="6">
        <v>483271</v>
      </c>
      <c r="G89" s="6">
        <v>12.83</v>
      </c>
      <c r="H89" s="6">
        <v>507.55</v>
      </c>
      <c r="I89" s="6">
        <v>42.949999999999989</v>
      </c>
      <c r="J89" s="6">
        <v>30166</v>
      </c>
      <c r="K89" s="6">
        <v>14012</v>
      </c>
      <c r="L89" s="6">
        <v>897233</v>
      </c>
      <c r="M89" s="6">
        <v>15.64</v>
      </c>
      <c r="N89" s="6">
        <v>149</v>
      </c>
      <c r="O89" s="6">
        <v>-117.85000000000002</v>
      </c>
      <c r="P89" s="6">
        <v>39042.300000000003</v>
      </c>
      <c r="Q89" s="6" t="s">
        <v>52</v>
      </c>
    </row>
    <row r="90" spans="2:17" x14ac:dyDescent="0.25">
      <c r="B90" s="6">
        <v>38800</v>
      </c>
      <c r="C90" s="6" t="s">
        <v>237</v>
      </c>
      <c r="D90" s="6">
        <v>18995</v>
      </c>
      <c r="E90" s="6">
        <v>1595</v>
      </c>
      <c r="F90" s="6">
        <v>1324751</v>
      </c>
      <c r="G90" s="6">
        <v>12.74</v>
      </c>
      <c r="H90" s="6">
        <v>435.3</v>
      </c>
      <c r="I90" s="6">
        <v>29.900000000000031</v>
      </c>
      <c r="J90" s="6">
        <v>50469</v>
      </c>
      <c r="K90" s="6">
        <v>17564</v>
      </c>
      <c r="L90" s="6">
        <v>1618702</v>
      </c>
      <c r="M90" s="6">
        <v>15.24</v>
      </c>
      <c r="N90" s="6">
        <v>174.4</v>
      </c>
      <c r="O90" s="6">
        <v>-131.49999999999997</v>
      </c>
      <c r="P90" s="6">
        <v>39042.300000000003</v>
      </c>
      <c r="Q90" s="6" t="s">
        <v>52</v>
      </c>
    </row>
    <row r="91" spans="2:17" x14ac:dyDescent="0.25">
      <c r="B91" s="6">
        <v>38900</v>
      </c>
      <c r="C91" s="6" t="s">
        <v>237</v>
      </c>
      <c r="D91" s="6">
        <v>20589</v>
      </c>
      <c r="E91" s="6">
        <v>-1040</v>
      </c>
      <c r="F91" s="6">
        <v>1583620</v>
      </c>
      <c r="G91" s="6">
        <v>13.2</v>
      </c>
      <c r="H91" s="6">
        <v>378.8</v>
      </c>
      <c r="I91" s="6">
        <v>26.650000000000031</v>
      </c>
      <c r="J91" s="6">
        <v>36904</v>
      </c>
      <c r="K91" s="6">
        <v>19225</v>
      </c>
      <c r="L91" s="6">
        <v>1440232</v>
      </c>
      <c r="M91" s="6">
        <v>15.06</v>
      </c>
      <c r="N91" s="6">
        <v>208.05</v>
      </c>
      <c r="O91" s="6">
        <v>-144.34999999999997</v>
      </c>
      <c r="P91" s="6">
        <v>39042.300000000003</v>
      </c>
      <c r="Q91" s="6" t="s">
        <v>52</v>
      </c>
    </row>
    <row r="92" spans="2:17" x14ac:dyDescent="0.25">
      <c r="B92" s="6">
        <v>39000</v>
      </c>
      <c r="C92" s="6" t="s">
        <v>237</v>
      </c>
      <c r="D92" s="6">
        <v>74064</v>
      </c>
      <c r="E92" s="6">
        <v>18547</v>
      </c>
      <c r="F92" s="6">
        <v>2751523</v>
      </c>
      <c r="G92" s="6">
        <v>13.21</v>
      </c>
      <c r="H92" s="6">
        <v>320</v>
      </c>
      <c r="I92" s="6">
        <v>17.300000000000011</v>
      </c>
      <c r="J92" s="6">
        <v>77709</v>
      </c>
      <c r="K92" s="6">
        <v>58033</v>
      </c>
      <c r="L92" s="6">
        <v>2016657</v>
      </c>
      <c r="M92" s="6">
        <v>15.05</v>
      </c>
      <c r="N92" s="6">
        <v>250</v>
      </c>
      <c r="O92" s="6">
        <v>-152.89999999999998</v>
      </c>
      <c r="P92" s="6">
        <v>39042.300000000003</v>
      </c>
      <c r="Q92" s="6" t="s">
        <v>52</v>
      </c>
    </row>
    <row r="93" spans="2:17" x14ac:dyDescent="0.25">
      <c r="B93" s="6">
        <v>39100</v>
      </c>
      <c r="C93" s="6" t="s">
        <v>237</v>
      </c>
      <c r="D93" s="6">
        <v>21706</v>
      </c>
      <c r="E93" s="6">
        <v>14443</v>
      </c>
      <c r="F93" s="6">
        <v>931146</v>
      </c>
      <c r="G93" s="6">
        <v>12.96</v>
      </c>
      <c r="H93" s="6">
        <v>262.05</v>
      </c>
      <c r="I93" s="6">
        <v>5.6500000000000341</v>
      </c>
      <c r="J93" s="6">
        <v>14104</v>
      </c>
      <c r="K93" s="6">
        <v>11968</v>
      </c>
      <c r="L93" s="6">
        <v>461518</v>
      </c>
      <c r="M93" s="6">
        <v>15.19</v>
      </c>
      <c r="N93" s="6">
        <v>300</v>
      </c>
      <c r="O93" s="6">
        <v>-156.60000000000002</v>
      </c>
      <c r="P93" s="6">
        <v>39042.300000000003</v>
      </c>
      <c r="Q93" s="6" t="s">
        <v>52</v>
      </c>
    </row>
    <row r="94" spans="2:17" x14ac:dyDescent="0.25">
      <c r="B94" s="6">
        <v>39200</v>
      </c>
      <c r="C94" s="6" t="s">
        <v>237</v>
      </c>
      <c r="D94" s="6">
        <v>21848</v>
      </c>
      <c r="E94" s="6">
        <v>10574</v>
      </c>
      <c r="F94" s="6">
        <v>822604</v>
      </c>
      <c r="G94" s="6">
        <v>12.97</v>
      </c>
      <c r="H94" s="6">
        <v>215.4</v>
      </c>
      <c r="I94" s="6">
        <v>0.40000000000000568</v>
      </c>
      <c r="J94" s="6">
        <v>6651</v>
      </c>
      <c r="K94" s="6">
        <v>5414</v>
      </c>
      <c r="L94" s="6">
        <v>284202</v>
      </c>
      <c r="M94" s="6">
        <v>14.36</v>
      </c>
      <c r="N94" s="6">
        <v>336.15</v>
      </c>
      <c r="O94" s="6">
        <v>-178.60000000000002</v>
      </c>
      <c r="P94" s="6">
        <v>39042.300000000003</v>
      </c>
      <c r="Q94" s="6" t="s">
        <v>52</v>
      </c>
    </row>
    <row r="95" spans="2:17" x14ac:dyDescent="0.25">
      <c r="B95" s="6">
        <v>39300</v>
      </c>
      <c r="C95" s="6" t="s">
        <v>237</v>
      </c>
      <c r="D95" s="6">
        <v>24517</v>
      </c>
      <c r="E95" s="6">
        <v>15749</v>
      </c>
      <c r="F95" s="6">
        <v>598229</v>
      </c>
      <c r="G95" s="6">
        <v>12.74</v>
      </c>
      <c r="H95" s="6">
        <v>170</v>
      </c>
      <c r="I95" s="6">
        <v>-8.0999999999999943</v>
      </c>
      <c r="J95" s="6">
        <v>4730</v>
      </c>
      <c r="K95" s="6">
        <v>3862</v>
      </c>
      <c r="L95" s="6">
        <v>118495</v>
      </c>
      <c r="M95" s="6">
        <v>14.74</v>
      </c>
      <c r="N95" s="6">
        <v>401.75</v>
      </c>
      <c r="O95" s="6">
        <v>-176.54999999999995</v>
      </c>
      <c r="P95" s="6">
        <v>39042.300000000003</v>
      </c>
      <c r="Q95" s="6" t="s">
        <v>52</v>
      </c>
    </row>
    <row r="96" spans="2:17" x14ac:dyDescent="0.25">
      <c r="B96" s="6">
        <v>39400</v>
      </c>
      <c r="C96" s="6" t="s">
        <v>237</v>
      </c>
      <c r="D96" s="6">
        <v>17871</v>
      </c>
      <c r="E96" s="6">
        <v>7481</v>
      </c>
      <c r="F96" s="6">
        <v>510977</v>
      </c>
      <c r="G96" s="6">
        <v>12.83</v>
      </c>
      <c r="H96" s="6">
        <v>136.85</v>
      </c>
      <c r="I96" s="6">
        <v>-8.8499999999999943</v>
      </c>
      <c r="J96" s="6">
        <v>2242</v>
      </c>
      <c r="K96" s="6">
        <v>1771</v>
      </c>
      <c r="L96" s="6">
        <v>52929</v>
      </c>
      <c r="M96" s="6">
        <v>14.64</v>
      </c>
      <c r="N96" s="6">
        <v>462.85</v>
      </c>
      <c r="O96" s="6">
        <v>-183.85</v>
      </c>
      <c r="P96" s="6">
        <v>39042.300000000003</v>
      </c>
      <c r="Q96" s="6" t="s">
        <v>52</v>
      </c>
    </row>
    <row r="97" spans="2:17" x14ac:dyDescent="0.25">
      <c r="B97" s="6">
        <v>39500</v>
      </c>
      <c r="C97" s="6" t="s">
        <v>237</v>
      </c>
      <c r="D97" s="6">
        <v>70508</v>
      </c>
      <c r="E97" s="6">
        <v>14067</v>
      </c>
      <c r="F97" s="6">
        <v>1207358</v>
      </c>
      <c r="G97" s="6">
        <v>12.65</v>
      </c>
      <c r="H97" s="6">
        <v>104.35</v>
      </c>
      <c r="I97" s="6">
        <v>-14.75</v>
      </c>
      <c r="J97" s="6">
        <v>4422</v>
      </c>
      <c r="K97" s="6">
        <v>1300</v>
      </c>
      <c r="L97" s="6">
        <v>104943</v>
      </c>
      <c r="M97" s="6">
        <v>15.15</v>
      </c>
      <c r="N97" s="6">
        <v>540</v>
      </c>
      <c r="O97" s="6">
        <v>-177.14999999999998</v>
      </c>
      <c r="P97" s="6">
        <v>39042.300000000003</v>
      </c>
      <c r="Q97" s="6" t="s">
        <v>52</v>
      </c>
    </row>
    <row r="98" spans="2:17" x14ac:dyDescent="0.25">
      <c r="B98" s="6">
        <v>39600</v>
      </c>
      <c r="C98" s="6" t="s">
        <v>237</v>
      </c>
      <c r="D98" s="6">
        <v>19904</v>
      </c>
      <c r="E98" s="6">
        <v>10304</v>
      </c>
      <c r="F98" s="6">
        <v>489502</v>
      </c>
      <c r="G98" s="6">
        <v>12.73</v>
      </c>
      <c r="H98" s="6">
        <v>81.5</v>
      </c>
      <c r="I98" s="6">
        <v>-15.099999999999994</v>
      </c>
      <c r="J98" s="6">
        <v>467</v>
      </c>
      <c r="K98" s="6">
        <v>322</v>
      </c>
      <c r="L98" s="6">
        <v>9925</v>
      </c>
      <c r="M98" s="6">
        <v>15.49</v>
      </c>
      <c r="N98" s="6">
        <v>617.6</v>
      </c>
      <c r="O98" s="6">
        <v>-178.89999999999998</v>
      </c>
      <c r="P98" s="6">
        <v>39042.300000000003</v>
      </c>
      <c r="Q98" s="6" t="s">
        <v>52</v>
      </c>
    </row>
    <row r="99" spans="2:17" x14ac:dyDescent="0.25">
      <c r="B99" s="6">
        <v>39700</v>
      </c>
      <c r="C99" s="6" t="s">
        <v>237</v>
      </c>
      <c r="D99" s="6">
        <v>22789</v>
      </c>
      <c r="E99" s="6">
        <v>12285</v>
      </c>
      <c r="F99" s="6">
        <v>433097</v>
      </c>
      <c r="G99" s="6">
        <v>12.66</v>
      </c>
      <c r="H99" s="6">
        <v>60.95</v>
      </c>
      <c r="I99" s="6">
        <v>-17.349999999999994</v>
      </c>
      <c r="J99" s="6">
        <v>284</v>
      </c>
      <c r="K99" s="6">
        <v>153</v>
      </c>
      <c r="L99" s="6">
        <v>5305</v>
      </c>
      <c r="M99" s="6">
        <v>15.75</v>
      </c>
      <c r="N99" s="6">
        <v>697.45</v>
      </c>
      <c r="O99" s="6">
        <v>-181.5</v>
      </c>
      <c r="P99" s="6">
        <v>39042.300000000003</v>
      </c>
      <c r="Q99" s="6" t="s">
        <v>52</v>
      </c>
    </row>
    <row r="100" spans="2:17" x14ac:dyDescent="0.25">
      <c r="B100" s="6">
        <v>39800</v>
      </c>
      <c r="C100" s="6" t="s">
        <v>237</v>
      </c>
      <c r="D100" s="6">
        <v>25883</v>
      </c>
      <c r="E100" s="6">
        <v>15042</v>
      </c>
      <c r="F100" s="6">
        <v>441547</v>
      </c>
      <c r="G100" s="6">
        <v>12.79</v>
      </c>
      <c r="H100" s="6">
        <v>46.8</v>
      </c>
      <c r="I100" s="6">
        <v>-15.75</v>
      </c>
      <c r="J100" s="6">
        <v>215</v>
      </c>
      <c r="K100" s="6">
        <v>95</v>
      </c>
      <c r="L100" s="6">
        <v>1864</v>
      </c>
      <c r="M100" s="6">
        <v>15.99</v>
      </c>
      <c r="N100" s="6">
        <v>780</v>
      </c>
      <c r="O100" s="6">
        <v>-181.70000000000005</v>
      </c>
      <c r="P100" s="6">
        <v>39042.300000000003</v>
      </c>
      <c r="Q100" s="6" t="s">
        <v>52</v>
      </c>
    </row>
    <row r="101" spans="2:17" x14ac:dyDescent="0.25">
      <c r="B101" s="6">
        <v>39900</v>
      </c>
      <c r="C101" s="6" t="s">
        <v>237</v>
      </c>
      <c r="D101" s="6">
        <v>17446</v>
      </c>
      <c r="E101" s="6">
        <v>8707</v>
      </c>
      <c r="F101" s="6">
        <v>374902</v>
      </c>
      <c r="G101" s="6">
        <v>12.63</v>
      </c>
      <c r="H101" s="6">
        <v>33</v>
      </c>
      <c r="I101" s="6">
        <v>-17.350000000000001</v>
      </c>
      <c r="J101" s="6">
        <v>183</v>
      </c>
      <c r="K101" s="6">
        <v>64</v>
      </c>
      <c r="L101" s="6">
        <v>1421</v>
      </c>
      <c r="M101" s="6">
        <v>16.57</v>
      </c>
      <c r="N101" s="6">
        <v>869.55</v>
      </c>
      <c r="O101" s="6">
        <v>-184.10000000000016</v>
      </c>
      <c r="P101" s="6">
        <v>39042.300000000003</v>
      </c>
      <c r="Q101" s="6" t="s">
        <v>52</v>
      </c>
    </row>
    <row r="102" spans="2:17" x14ac:dyDescent="0.25">
      <c r="B102" s="6">
        <v>40000</v>
      </c>
      <c r="C102" s="6" t="s">
        <v>237</v>
      </c>
      <c r="D102" s="6">
        <v>75563</v>
      </c>
      <c r="E102" s="6">
        <v>34433</v>
      </c>
      <c r="F102" s="6">
        <v>832479</v>
      </c>
      <c r="G102" s="6">
        <v>12.87</v>
      </c>
      <c r="H102" s="6">
        <v>25.55</v>
      </c>
      <c r="I102" s="6">
        <v>-15.400000000000002</v>
      </c>
      <c r="J102" s="6">
        <v>1559</v>
      </c>
      <c r="K102" s="6">
        <v>896</v>
      </c>
      <c r="L102" s="6">
        <v>14636</v>
      </c>
      <c r="M102" s="6">
        <v>17.23</v>
      </c>
      <c r="N102" s="6">
        <v>961.65</v>
      </c>
      <c r="O102" s="6">
        <v>-177.10000000000002</v>
      </c>
      <c r="P102" s="6">
        <v>39042.300000000003</v>
      </c>
      <c r="Q102" s="6" t="s">
        <v>52</v>
      </c>
    </row>
    <row r="103" spans="2:17" x14ac:dyDescent="0.25">
      <c r="B103" s="6">
        <v>40100</v>
      </c>
      <c r="C103" s="6" t="s">
        <v>237</v>
      </c>
      <c r="D103" s="6">
        <v>17116</v>
      </c>
      <c r="E103" s="6">
        <v>11297</v>
      </c>
      <c r="F103" s="6">
        <v>250188</v>
      </c>
      <c r="G103" s="6">
        <v>12.99</v>
      </c>
      <c r="H103" s="6">
        <v>19</v>
      </c>
      <c r="I103" s="6">
        <v>-13.1</v>
      </c>
      <c r="J103" s="6">
        <v>20</v>
      </c>
      <c r="K103" s="6">
        <v>20</v>
      </c>
      <c r="L103" s="6">
        <v>114</v>
      </c>
      <c r="M103" s="6">
        <v>18.350000000000001</v>
      </c>
      <c r="N103" s="6">
        <v>1060</v>
      </c>
      <c r="O103" s="6">
        <v>-2862.9</v>
      </c>
      <c r="P103" s="6">
        <v>39042.300000000003</v>
      </c>
      <c r="Q103" s="6" t="s">
        <v>52</v>
      </c>
    </row>
    <row r="104" spans="2:17" x14ac:dyDescent="0.25">
      <c r="B104" s="6">
        <v>40200</v>
      </c>
      <c r="C104" s="6" t="s">
        <v>237</v>
      </c>
      <c r="D104" s="6">
        <v>18427</v>
      </c>
      <c r="E104" s="6">
        <v>10635</v>
      </c>
      <c r="F104" s="6">
        <v>216723</v>
      </c>
      <c r="G104" s="6">
        <v>12.81</v>
      </c>
      <c r="H104" s="6">
        <v>12.5</v>
      </c>
      <c r="I104" s="6">
        <v>-13.4</v>
      </c>
      <c r="J104" s="6">
        <v>12</v>
      </c>
      <c r="K104" s="6">
        <v>12</v>
      </c>
      <c r="L104" s="6">
        <v>80</v>
      </c>
      <c r="M104" s="6">
        <v>20.43</v>
      </c>
      <c r="N104" s="6">
        <v>1169.75</v>
      </c>
      <c r="O104" s="6">
        <v>-2842.2</v>
      </c>
      <c r="P104" s="6">
        <v>39042.300000000003</v>
      </c>
      <c r="Q104" s="6" t="s">
        <v>52</v>
      </c>
    </row>
    <row r="105" spans="2:17" x14ac:dyDescent="0.25">
      <c r="B105" s="6">
        <v>40300</v>
      </c>
      <c r="C105" s="6" t="s">
        <v>237</v>
      </c>
      <c r="D105" s="6">
        <v>13916</v>
      </c>
      <c r="E105" s="6">
        <v>9457</v>
      </c>
      <c r="F105" s="6">
        <v>177127</v>
      </c>
      <c r="G105" s="6">
        <v>13.04</v>
      </c>
      <c r="H105" s="6">
        <v>9.5</v>
      </c>
      <c r="I105" s="6">
        <v>-11.85</v>
      </c>
      <c r="J105" s="6">
        <v>16</v>
      </c>
      <c r="K105" s="6">
        <v>16</v>
      </c>
      <c r="L105" s="6">
        <v>71</v>
      </c>
      <c r="M105" s="6">
        <v>22.34</v>
      </c>
      <c r="N105" s="6">
        <v>1277.5</v>
      </c>
      <c r="O105" s="6">
        <v>-2330.6999999999998</v>
      </c>
      <c r="P105" s="6">
        <v>39042.300000000003</v>
      </c>
      <c r="Q105" s="6" t="s">
        <v>52</v>
      </c>
    </row>
    <row r="106" spans="2:17" x14ac:dyDescent="0.25">
      <c r="B106" s="6">
        <v>40400</v>
      </c>
      <c r="C106" s="6" t="s">
        <v>237</v>
      </c>
      <c r="D106" s="6">
        <v>9948</v>
      </c>
      <c r="E106" s="6">
        <v>9948</v>
      </c>
      <c r="F106" s="6">
        <v>100548</v>
      </c>
      <c r="G106" s="6">
        <v>13.67</v>
      </c>
      <c r="H106" s="6">
        <v>8.6</v>
      </c>
      <c r="I106" s="6">
        <v>-168.70000000000002</v>
      </c>
      <c r="J106" s="6">
        <v>8</v>
      </c>
      <c r="K106" s="6">
        <v>8</v>
      </c>
      <c r="L106" s="6">
        <v>32</v>
      </c>
      <c r="M106" s="6">
        <v>27.7</v>
      </c>
      <c r="N106" s="6">
        <v>1428.7</v>
      </c>
      <c r="O106" s="6">
        <v>-2267.6499999999996</v>
      </c>
      <c r="P106" s="6">
        <v>39042.300000000003</v>
      </c>
      <c r="Q106" s="6" t="s">
        <v>52</v>
      </c>
    </row>
    <row r="107" spans="2:17" x14ac:dyDescent="0.25">
      <c r="B107" s="5">
        <v>40500</v>
      </c>
      <c r="C107" s="5" t="s">
        <v>237</v>
      </c>
      <c r="D107" s="5">
        <v>44054</v>
      </c>
      <c r="E107" s="5">
        <v>18312</v>
      </c>
      <c r="F107" s="5">
        <v>396767</v>
      </c>
      <c r="G107" s="5">
        <v>14.61</v>
      </c>
      <c r="H107" s="5">
        <v>8.9</v>
      </c>
      <c r="I107" s="5">
        <v>-6</v>
      </c>
      <c r="J107" s="5">
        <v>297</v>
      </c>
      <c r="K107" s="5">
        <v>123</v>
      </c>
      <c r="L107" s="5">
        <v>368</v>
      </c>
      <c r="M107" s="5">
        <v>22.74</v>
      </c>
      <c r="N107" s="5">
        <v>1456</v>
      </c>
      <c r="O107" s="5">
        <v>-161</v>
      </c>
      <c r="P107" s="5">
        <v>39042.300000000003</v>
      </c>
      <c r="Q107" s="5" t="s">
        <v>52</v>
      </c>
    </row>
    <row r="108" spans="2:17" x14ac:dyDescent="0.25">
      <c r="B108" s="5">
        <v>40600</v>
      </c>
      <c r="C108" s="5" t="s">
        <v>237</v>
      </c>
      <c r="D108" s="5">
        <v>4148</v>
      </c>
      <c r="E108" s="5">
        <v>4148</v>
      </c>
      <c r="F108" s="5">
        <v>80773</v>
      </c>
      <c r="G108" s="5">
        <v>15.48</v>
      </c>
      <c r="H108" s="5">
        <v>9</v>
      </c>
      <c r="I108" s="5">
        <v>-147.05000000000001</v>
      </c>
      <c r="J108" s="5">
        <v>0</v>
      </c>
      <c r="K108" s="5">
        <v>0</v>
      </c>
      <c r="L108" s="5">
        <v>0</v>
      </c>
      <c r="M108" s="5">
        <v>0</v>
      </c>
      <c r="N108" s="5">
        <v>0</v>
      </c>
      <c r="O108" s="5">
        <v>0</v>
      </c>
      <c r="P108" s="5">
        <v>39042.300000000003</v>
      </c>
      <c r="Q108" s="5" t="s">
        <v>52</v>
      </c>
    </row>
    <row r="109" spans="2:17" x14ac:dyDescent="0.25">
      <c r="B109" s="5">
        <v>40700</v>
      </c>
      <c r="C109" s="5" t="s">
        <v>237</v>
      </c>
      <c r="D109" s="5">
        <v>7411</v>
      </c>
      <c r="E109" s="5">
        <v>7411</v>
      </c>
      <c r="F109" s="5">
        <v>67941</v>
      </c>
      <c r="G109" s="5">
        <v>15.41</v>
      </c>
      <c r="H109" s="5">
        <v>6.3</v>
      </c>
      <c r="I109" s="5">
        <v>-139.94999999999999</v>
      </c>
      <c r="J109" s="5">
        <v>0</v>
      </c>
      <c r="K109" s="5">
        <v>0</v>
      </c>
      <c r="L109" s="5">
        <v>0</v>
      </c>
      <c r="M109" s="5">
        <v>0</v>
      </c>
      <c r="N109" s="5">
        <v>0</v>
      </c>
      <c r="O109" s="5">
        <v>0</v>
      </c>
      <c r="P109" s="5">
        <v>39042.300000000003</v>
      </c>
      <c r="Q109" s="5" t="s">
        <v>52</v>
      </c>
    </row>
    <row r="110" spans="2:17" x14ac:dyDescent="0.25">
      <c r="B110" s="5">
        <v>40800</v>
      </c>
      <c r="C110" s="5" t="s">
        <v>237</v>
      </c>
      <c r="D110" s="5">
        <v>5572</v>
      </c>
      <c r="E110" s="5">
        <v>5572</v>
      </c>
      <c r="F110" s="5">
        <v>53003</v>
      </c>
      <c r="G110" s="5">
        <v>15.58</v>
      </c>
      <c r="H110" s="5">
        <v>4.8499999999999996</v>
      </c>
      <c r="I110" s="5">
        <v>-102.85</v>
      </c>
      <c r="J110" s="5">
        <v>0</v>
      </c>
      <c r="K110" s="5">
        <v>0</v>
      </c>
      <c r="L110" s="5">
        <v>0</v>
      </c>
      <c r="M110" s="5">
        <v>0</v>
      </c>
      <c r="N110" s="5">
        <v>0</v>
      </c>
      <c r="O110" s="5">
        <v>0</v>
      </c>
      <c r="P110" s="5">
        <v>39042.300000000003</v>
      </c>
      <c r="Q110" s="5" t="s">
        <v>52</v>
      </c>
    </row>
    <row r="111" spans="2:17" x14ac:dyDescent="0.25">
      <c r="B111" s="5">
        <v>40900</v>
      </c>
      <c r="C111" s="5" t="s">
        <v>237</v>
      </c>
      <c r="D111" s="5">
        <v>3184</v>
      </c>
      <c r="E111" s="5">
        <v>3184</v>
      </c>
      <c r="F111" s="5">
        <v>37805</v>
      </c>
      <c r="G111" s="5">
        <v>16.440000000000001</v>
      </c>
      <c r="H111" s="5">
        <v>5.05</v>
      </c>
      <c r="I111" s="5">
        <v>-142.44999999999999</v>
      </c>
      <c r="J111" s="5">
        <v>9</v>
      </c>
      <c r="K111" s="5">
        <v>9</v>
      </c>
      <c r="L111" s="5">
        <v>10</v>
      </c>
      <c r="M111" s="5">
        <v>35.1</v>
      </c>
      <c r="N111" s="5">
        <v>1941.25</v>
      </c>
      <c r="O111" s="5">
        <v>-1605.6999999999998</v>
      </c>
      <c r="P111" s="5">
        <v>39042.300000000003</v>
      </c>
      <c r="Q111" s="5" t="s">
        <v>52</v>
      </c>
    </row>
    <row r="112" spans="2:17" x14ac:dyDescent="0.25">
      <c r="B112" s="5">
        <v>41000</v>
      </c>
      <c r="C112" s="5" t="s">
        <v>237</v>
      </c>
      <c r="D112" s="5">
        <v>45969</v>
      </c>
      <c r="E112" s="5">
        <v>15962</v>
      </c>
      <c r="F112" s="5">
        <v>318314</v>
      </c>
      <c r="G112" s="5">
        <v>17.100000000000001</v>
      </c>
      <c r="H112" s="5">
        <v>4.8499999999999996</v>
      </c>
      <c r="I112" s="5">
        <v>-3.1500000000000004</v>
      </c>
      <c r="J112" s="5">
        <v>22</v>
      </c>
      <c r="K112" s="5">
        <v>15</v>
      </c>
      <c r="L112" s="5">
        <v>27</v>
      </c>
      <c r="M112" s="5">
        <v>27.6</v>
      </c>
      <c r="N112" s="5">
        <v>1950</v>
      </c>
      <c r="O112" s="5">
        <v>-149.59999999999991</v>
      </c>
      <c r="P112" s="5">
        <v>39042.300000000003</v>
      </c>
      <c r="Q112" s="5" t="s">
        <v>52</v>
      </c>
    </row>
    <row r="113" spans="2:17" x14ac:dyDescent="0.25">
      <c r="B113" s="5">
        <v>41500</v>
      </c>
      <c r="C113" s="5" t="s">
        <v>237</v>
      </c>
      <c r="D113" s="5">
        <v>30220</v>
      </c>
      <c r="E113" s="5">
        <v>17544</v>
      </c>
      <c r="F113" s="5">
        <v>158101</v>
      </c>
      <c r="G113" s="5">
        <v>19.670000000000002</v>
      </c>
      <c r="H113" s="5">
        <v>3.15</v>
      </c>
      <c r="I113" s="5">
        <v>-2.1</v>
      </c>
      <c r="J113" s="5">
        <v>3</v>
      </c>
      <c r="K113" s="5">
        <v>1</v>
      </c>
      <c r="L113" s="5">
        <v>1</v>
      </c>
      <c r="M113" s="5">
        <v>40.89</v>
      </c>
      <c r="N113" s="5">
        <v>2525</v>
      </c>
      <c r="O113" s="5">
        <v>-1172.1500000000001</v>
      </c>
      <c r="P113" s="5">
        <v>39042.300000000003</v>
      </c>
      <c r="Q113" s="5" t="s">
        <v>52</v>
      </c>
    </row>
    <row r="114" spans="2:17" x14ac:dyDescent="0.25">
      <c r="B114" s="5">
        <v>42000</v>
      </c>
      <c r="C114" s="5" t="s">
        <v>237</v>
      </c>
      <c r="D114" s="5">
        <v>19193</v>
      </c>
      <c r="E114" s="5">
        <v>7821</v>
      </c>
      <c r="F114" s="5">
        <v>111363</v>
      </c>
      <c r="G114" s="5">
        <v>22.91</v>
      </c>
      <c r="H114" s="5">
        <v>2.95</v>
      </c>
      <c r="I114" s="5">
        <v>-0.89999999999999991</v>
      </c>
      <c r="J114" s="5">
        <v>6</v>
      </c>
      <c r="K114" s="5">
        <v>3</v>
      </c>
      <c r="L114" s="5">
        <v>4</v>
      </c>
      <c r="M114" s="5">
        <v>40.479999999999997</v>
      </c>
      <c r="N114" s="5">
        <v>2970</v>
      </c>
      <c r="O114" s="5">
        <v>-188.19999999999985</v>
      </c>
      <c r="P114" s="5">
        <v>39042.300000000003</v>
      </c>
      <c r="Q114" s="5" t="s">
        <v>52</v>
      </c>
    </row>
    <row r="115" spans="2:17" x14ac:dyDescent="0.25">
      <c r="B115" s="5">
        <v>42500</v>
      </c>
      <c r="C115" s="5" t="s">
        <v>237</v>
      </c>
      <c r="D115" s="5">
        <v>4719</v>
      </c>
      <c r="E115" s="5">
        <v>2082</v>
      </c>
      <c r="F115" s="5">
        <v>26622</v>
      </c>
      <c r="G115" s="5">
        <v>25.83</v>
      </c>
      <c r="H115" s="5">
        <v>2.6</v>
      </c>
      <c r="I115" s="5">
        <v>-0.54999999999999982</v>
      </c>
      <c r="J115" s="5">
        <v>0</v>
      </c>
      <c r="K115" s="5">
        <v>0</v>
      </c>
      <c r="L115" s="5">
        <v>0</v>
      </c>
      <c r="M115" s="5">
        <v>0</v>
      </c>
      <c r="N115" s="5">
        <v>0</v>
      </c>
      <c r="O115" s="5">
        <v>0</v>
      </c>
      <c r="P115" s="5">
        <v>39042.300000000003</v>
      </c>
      <c r="Q115" s="5" t="s">
        <v>52</v>
      </c>
    </row>
    <row r="116" spans="2:17" x14ac:dyDescent="0.25">
      <c r="B116" s="5">
        <v>43000</v>
      </c>
      <c r="C116" s="5" t="s">
        <v>237</v>
      </c>
      <c r="D116" s="5">
        <v>6286</v>
      </c>
      <c r="E116" s="5">
        <v>2328</v>
      </c>
      <c r="F116" s="5">
        <v>24231</v>
      </c>
      <c r="G116" s="5">
        <v>28.69</v>
      </c>
      <c r="H116" s="5">
        <v>2.35</v>
      </c>
      <c r="I116" s="5">
        <v>-0.60000000000000009</v>
      </c>
      <c r="J116" s="5">
        <v>1</v>
      </c>
      <c r="K116" s="5">
        <v>1</v>
      </c>
      <c r="L116" s="5">
        <v>2</v>
      </c>
      <c r="M116" s="5">
        <v>42.25</v>
      </c>
      <c r="N116" s="5">
        <v>3922.75</v>
      </c>
      <c r="O116" s="5">
        <v>-4226.2</v>
      </c>
      <c r="P116" s="5">
        <v>39042.300000000003</v>
      </c>
      <c r="Q116" s="5" t="s">
        <v>52</v>
      </c>
    </row>
    <row r="117" spans="2:17" x14ac:dyDescent="0.25">
      <c r="B117" s="5">
        <v>43500</v>
      </c>
      <c r="C117" s="5" t="s">
        <v>237</v>
      </c>
      <c r="D117" s="5">
        <v>8637</v>
      </c>
      <c r="E117" s="5">
        <v>5483</v>
      </c>
      <c r="F117" s="5">
        <v>28446</v>
      </c>
      <c r="G117" s="5">
        <v>31.55</v>
      </c>
      <c r="H117" s="5">
        <v>2.2000000000000002</v>
      </c>
      <c r="I117" s="5">
        <v>-0.64999999999999991</v>
      </c>
      <c r="J117" s="5">
        <v>0</v>
      </c>
      <c r="K117" s="5">
        <v>0</v>
      </c>
      <c r="L117" s="5">
        <v>0</v>
      </c>
      <c r="M117" s="5">
        <v>0</v>
      </c>
      <c r="N117" s="5">
        <v>0</v>
      </c>
      <c r="O117" s="5">
        <v>0</v>
      </c>
      <c r="P117" s="5">
        <v>39042.300000000003</v>
      </c>
      <c r="Q117" s="5" t="s">
        <v>52</v>
      </c>
    </row>
    <row r="118" spans="2:17" x14ac:dyDescent="0.25">
      <c r="B118" s="5">
        <v>44000</v>
      </c>
      <c r="C118" s="5" t="s">
        <v>237</v>
      </c>
      <c r="D118" s="5">
        <v>6997</v>
      </c>
      <c r="E118" s="5">
        <v>6997</v>
      </c>
      <c r="F118" s="5">
        <v>21097</v>
      </c>
      <c r="G118" s="5">
        <v>34.380000000000003</v>
      </c>
      <c r="H118" s="5">
        <v>2.1</v>
      </c>
      <c r="I118" s="5">
        <v>-4.8499999999999996</v>
      </c>
      <c r="J118" s="5">
        <v>0</v>
      </c>
      <c r="K118" s="5">
        <v>0</v>
      </c>
      <c r="L118" s="5">
        <v>0</v>
      </c>
      <c r="M118" s="5">
        <v>0</v>
      </c>
      <c r="N118" s="5">
        <v>0</v>
      </c>
      <c r="O118" s="5">
        <v>0</v>
      </c>
      <c r="P118" s="5">
        <v>39042.300000000003</v>
      </c>
      <c r="Q118" s="5" t="s">
        <v>52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B1:Q113"/>
  <sheetViews>
    <sheetView showGridLines="0" workbookViewId="0">
      <selection activeCell="I19" sqref="I19"/>
    </sheetView>
  </sheetViews>
  <sheetFormatPr defaultRowHeight="15" x14ac:dyDescent="0.25"/>
  <cols>
    <col min="1" max="1" width="9.140625" style="5"/>
    <col min="2" max="2" width="21.42578125" style="5" customWidth="1"/>
    <col min="3" max="3" width="21.7109375" style="5" customWidth="1"/>
    <col min="4" max="4" width="19.85546875" style="5" customWidth="1"/>
    <col min="5" max="5" width="28.42578125" style="5" customWidth="1"/>
    <col min="6" max="6" width="25.7109375" style="5" customWidth="1"/>
    <col min="7" max="7" width="23.28515625" style="5" customWidth="1"/>
    <col min="8" max="8" width="15.7109375" style="5" customWidth="1"/>
    <col min="9" max="9" width="14.28515625" style="5" bestFit="1" customWidth="1"/>
    <col min="10" max="10" width="19.140625" style="5" customWidth="1"/>
    <col min="11" max="11" width="27.85546875" style="5" customWidth="1"/>
    <col min="12" max="12" width="25.140625" style="5" customWidth="1"/>
    <col min="13" max="13" width="22.7109375" style="5" customWidth="1"/>
    <col min="14" max="14" width="15" style="5" bestFit="1" customWidth="1"/>
    <col min="15" max="15" width="13.7109375" style="5" bestFit="1" customWidth="1"/>
    <col min="16" max="16" width="22.42578125" style="5" customWidth="1"/>
    <col min="17" max="17" width="17.140625" style="5" customWidth="1"/>
    <col min="18" max="16384" width="9.140625" style="5"/>
  </cols>
  <sheetData>
    <row r="1" spans="2:17" x14ac:dyDescent="0.25">
      <c r="B1" s="25" t="s">
        <v>16</v>
      </c>
      <c r="C1" s="26" t="s">
        <v>32</v>
      </c>
      <c r="D1" s="26" t="s">
        <v>49</v>
      </c>
      <c r="E1" s="26" t="s">
        <v>205</v>
      </c>
    </row>
    <row r="2" spans="2:17" x14ac:dyDescent="0.25">
      <c r="B2" s="25">
        <f>P7</f>
        <v>17698.150000000001</v>
      </c>
      <c r="C2" s="26">
        <f>B7-B6</f>
        <v>50</v>
      </c>
      <c r="D2" s="26" t="str">
        <f>C6</f>
        <v>18-Aug-2022</v>
      </c>
      <c r="E2" s="26" t="str">
        <f>Q6</f>
        <v>NIFTY</v>
      </c>
    </row>
    <row r="5" spans="2:17" x14ac:dyDescent="0.25">
      <c r="B5" s="6" t="s">
        <v>17</v>
      </c>
      <c r="C5" s="6" t="s">
        <v>18</v>
      </c>
      <c r="D5" s="6" t="s">
        <v>19</v>
      </c>
      <c r="E5" s="6" t="s">
        <v>20</v>
      </c>
      <c r="F5" s="6" t="s">
        <v>21</v>
      </c>
      <c r="G5" s="6" t="s">
        <v>22</v>
      </c>
      <c r="H5" s="6" t="s">
        <v>23</v>
      </c>
      <c r="I5" s="6" t="s">
        <v>24</v>
      </c>
      <c r="J5" s="6" t="s">
        <v>25</v>
      </c>
      <c r="K5" s="6" t="s">
        <v>26</v>
      </c>
      <c r="L5" s="6" t="s">
        <v>27</v>
      </c>
      <c r="M5" s="6" t="s">
        <v>28</v>
      </c>
      <c r="N5" s="6" t="s">
        <v>29</v>
      </c>
      <c r="O5" s="6" t="s">
        <v>30</v>
      </c>
      <c r="P5" s="6" t="s">
        <v>31</v>
      </c>
      <c r="Q5" s="6" t="s">
        <v>204</v>
      </c>
    </row>
    <row r="6" spans="2:17" x14ac:dyDescent="0.25">
      <c r="B6" s="6">
        <v>13800</v>
      </c>
      <c r="C6" s="6" t="s">
        <v>237</v>
      </c>
      <c r="D6" s="6">
        <v>0</v>
      </c>
      <c r="E6" s="6">
        <v>0</v>
      </c>
      <c r="F6" s="6">
        <v>0</v>
      </c>
      <c r="G6" s="6">
        <v>0</v>
      </c>
      <c r="H6" s="6">
        <v>0</v>
      </c>
      <c r="I6" s="6">
        <v>0</v>
      </c>
      <c r="J6" s="6">
        <v>2284</v>
      </c>
      <c r="K6" s="6">
        <v>1940</v>
      </c>
      <c r="L6" s="6">
        <v>3773</v>
      </c>
      <c r="M6" s="6">
        <v>64.55</v>
      </c>
      <c r="N6" s="6">
        <v>0.45</v>
      </c>
      <c r="O6" s="6">
        <v>-0.2</v>
      </c>
      <c r="P6" s="6">
        <v>17698.150000000001</v>
      </c>
      <c r="Q6" s="6" t="s">
        <v>1</v>
      </c>
    </row>
    <row r="7" spans="2:17" x14ac:dyDescent="0.25">
      <c r="B7" s="6">
        <v>13850</v>
      </c>
      <c r="C7" s="6" t="s">
        <v>237</v>
      </c>
      <c r="D7" s="6">
        <v>0</v>
      </c>
      <c r="E7" s="6">
        <v>0</v>
      </c>
      <c r="F7" s="6">
        <v>0</v>
      </c>
      <c r="G7" s="6">
        <v>0</v>
      </c>
      <c r="H7" s="6">
        <v>0</v>
      </c>
      <c r="I7" s="6">
        <v>0</v>
      </c>
      <c r="J7" s="6">
        <v>0</v>
      </c>
      <c r="K7" s="6">
        <v>0</v>
      </c>
      <c r="L7" s="6">
        <v>0</v>
      </c>
      <c r="M7" s="6">
        <v>0</v>
      </c>
      <c r="N7" s="6">
        <v>0</v>
      </c>
      <c r="O7" s="6">
        <v>0</v>
      </c>
      <c r="P7" s="6">
        <v>17698.150000000001</v>
      </c>
      <c r="Q7" s="6" t="s">
        <v>1</v>
      </c>
    </row>
    <row r="8" spans="2:17" x14ac:dyDescent="0.25">
      <c r="B8" s="6">
        <v>13900</v>
      </c>
      <c r="C8" s="6" t="s">
        <v>237</v>
      </c>
      <c r="D8" s="6">
        <v>0</v>
      </c>
      <c r="E8" s="6">
        <v>0</v>
      </c>
      <c r="F8" s="6">
        <v>0</v>
      </c>
      <c r="G8" s="6">
        <v>0</v>
      </c>
      <c r="H8" s="6">
        <v>0</v>
      </c>
      <c r="I8" s="6">
        <v>0</v>
      </c>
      <c r="J8" s="6">
        <v>282</v>
      </c>
      <c r="K8" s="6">
        <v>181</v>
      </c>
      <c r="L8" s="6">
        <v>511</v>
      </c>
      <c r="M8" s="6">
        <v>62.83</v>
      </c>
      <c r="N8" s="6">
        <v>0.45</v>
      </c>
      <c r="O8" s="6">
        <v>-0.3</v>
      </c>
      <c r="P8" s="6">
        <v>17698.150000000001</v>
      </c>
      <c r="Q8" s="6" t="s">
        <v>1</v>
      </c>
    </row>
    <row r="9" spans="2:17" x14ac:dyDescent="0.25">
      <c r="B9" s="6">
        <v>13950</v>
      </c>
      <c r="C9" s="6" t="s">
        <v>237</v>
      </c>
      <c r="D9" s="6">
        <v>0</v>
      </c>
      <c r="E9" s="6">
        <v>0</v>
      </c>
      <c r="F9" s="6">
        <v>0</v>
      </c>
      <c r="G9" s="6">
        <v>0</v>
      </c>
      <c r="H9" s="6">
        <v>0</v>
      </c>
      <c r="I9" s="6">
        <v>0</v>
      </c>
      <c r="J9" s="6">
        <v>0</v>
      </c>
      <c r="K9" s="6">
        <v>0</v>
      </c>
      <c r="L9" s="6">
        <v>0</v>
      </c>
      <c r="M9" s="6">
        <v>0</v>
      </c>
      <c r="N9" s="6">
        <v>0</v>
      </c>
      <c r="O9" s="6">
        <v>0</v>
      </c>
      <c r="P9" s="6">
        <v>17698.150000000001</v>
      </c>
      <c r="Q9" s="6" t="s">
        <v>1</v>
      </c>
    </row>
    <row r="10" spans="2:17" x14ac:dyDescent="0.25">
      <c r="B10" s="6">
        <v>14000</v>
      </c>
      <c r="C10" s="6" t="s">
        <v>237</v>
      </c>
      <c r="D10" s="6">
        <v>0</v>
      </c>
      <c r="E10" s="6">
        <v>0</v>
      </c>
      <c r="F10" s="6">
        <v>0</v>
      </c>
      <c r="G10" s="6">
        <v>0</v>
      </c>
      <c r="H10" s="6">
        <v>0</v>
      </c>
      <c r="I10" s="6">
        <v>0</v>
      </c>
      <c r="J10" s="6">
        <v>6300</v>
      </c>
      <c r="K10" s="6">
        <v>4079</v>
      </c>
      <c r="L10" s="6">
        <v>11074</v>
      </c>
      <c r="M10" s="6">
        <v>60.51</v>
      </c>
      <c r="N10" s="6">
        <v>0.4</v>
      </c>
      <c r="O10" s="6">
        <v>-0.35</v>
      </c>
      <c r="P10" s="6">
        <v>17698.150000000001</v>
      </c>
      <c r="Q10" s="6" t="s">
        <v>1</v>
      </c>
    </row>
    <row r="11" spans="2:17" x14ac:dyDescent="0.25">
      <c r="B11" s="6">
        <v>14050</v>
      </c>
      <c r="C11" s="6" t="s">
        <v>237</v>
      </c>
      <c r="D11" s="6">
        <v>0</v>
      </c>
      <c r="E11" s="6">
        <v>0</v>
      </c>
      <c r="F11" s="6">
        <v>0</v>
      </c>
      <c r="G11" s="6">
        <v>0</v>
      </c>
      <c r="H11" s="6">
        <v>0</v>
      </c>
      <c r="I11" s="6">
        <v>0</v>
      </c>
      <c r="J11" s="6">
        <v>2</v>
      </c>
      <c r="K11" s="6">
        <v>2</v>
      </c>
      <c r="L11" s="6">
        <v>5</v>
      </c>
      <c r="M11" s="6">
        <v>60.81</v>
      </c>
      <c r="N11" s="6">
        <v>0.5</v>
      </c>
      <c r="O11" s="6">
        <v>-115.3</v>
      </c>
      <c r="P11" s="6">
        <v>17698.150000000001</v>
      </c>
      <c r="Q11" s="6" t="s">
        <v>1</v>
      </c>
    </row>
    <row r="12" spans="2:17" x14ac:dyDescent="0.25">
      <c r="B12" s="6">
        <v>14100</v>
      </c>
      <c r="C12" s="6" t="s">
        <v>237</v>
      </c>
      <c r="D12" s="6">
        <v>0</v>
      </c>
      <c r="E12" s="6">
        <v>0</v>
      </c>
      <c r="F12" s="6">
        <v>0</v>
      </c>
      <c r="G12" s="6">
        <v>0</v>
      </c>
      <c r="H12" s="6">
        <v>0</v>
      </c>
      <c r="I12" s="6">
        <v>0</v>
      </c>
      <c r="J12" s="6">
        <v>414</v>
      </c>
      <c r="K12" s="6">
        <v>44</v>
      </c>
      <c r="L12" s="6">
        <v>499</v>
      </c>
      <c r="M12" s="6">
        <v>59.95</v>
      </c>
      <c r="N12" s="6">
        <v>0.5</v>
      </c>
      <c r="O12" s="6">
        <v>-0.30000000000000004</v>
      </c>
      <c r="P12" s="6">
        <v>17698.150000000001</v>
      </c>
      <c r="Q12" s="6" t="s">
        <v>1</v>
      </c>
    </row>
    <row r="13" spans="2:17" x14ac:dyDescent="0.25">
      <c r="B13" s="6">
        <v>14150</v>
      </c>
      <c r="C13" s="6" t="s">
        <v>237</v>
      </c>
      <c r="D13" s="6">
        <v>0</v>
      </c>
      <c r="E13" s="6">
        <v>0</v>
      </c>
      <c r="F13" s="6">
        <v>0</v>
      </c>
      <c r="G13" s="6">
        <v>0</v>
      </c>
      <c r="H13" s="6">
        <v>0</v>
      </c>
      <c r="I13" s="6">
        <v>0</v>
      </c>
      <c r="J13" s="6">
        <v>20</v>
      </c>
      <c r="K13" s="6">
        <v>20</v>
      </c>
      <c r="L13" s="6">
        <v>1520</v>
      </c>
      <c r="M13" s="6">
        <v>61.29</v>
      </c>
      <c r="N13" s="6">
        <v>0.75</v>
      </c>
      <c r="O13" s="6">
        <v>-132.6</v>
      </c>
      <c r="P13" s="6">
        <v>17698.150000000001</v>
      </c>
      <c r="Q13" s="6" t="s">
        <v>1</v>
      </c>
    </row>
    <row r="14" spans="2:17" x14ac:dyDescent="0.25">
      <c r="B14" s="6">
        <v>14200</v>
      </c>
      <c r="C14" s="6" t="s">
        <v>237</v>
      </c>
      <c r="D14" s="6">
        <v>0</v>
      </c>
      <c r="E14" s="6">
        <v>0</v>
      </c>
      <c r="F14" s="6">
        <v>0</v>
      </c>
      <c r="G14" s="6">
        <v>0</v>
      </c>
      <c r="H14" s="6">
        <v>0</v>
      </c>
      <c r="I14" s="6">
        <v>0</v>
      </c>
      <c r="J14" s="6">
        <v>38</v>
      </c>
      <c r="K14" s="6">
        <v>38</v>
      </c>
      <c r="L14" s="6">
        <v>2261</v>
      </c>
      <c r="M14" s="6">
        <v>58.73</v>
      </c>
      <c r="N14" s="6">
        <v>0.55000000000000004</v>
      </c>
      <c r="O14" s="6">
        <v>-142.29999999999998</v>
      </c>
      <c r="P14" s="6">
        <v>17698.150000000001</v>
      </c>
      <c r="Q14" s="6" t="s">
        <v>1</v>
      </c>
    </row>
    <row r="15" spans="2:17" x14ac:dyDescent="0.25">
      <c r="B15" s="6">
        <v>14250</v>
      </c>
      <c r="C15" s="6" t="s">
        <v>237</v>
      </c>
      <c r="D15" s="6">
        <v>0</v>
      </c>
      <c r="E15" s="6">
        <v>0</v>
      </c>
      <c r="F15" s="6">
        <v>0</v>
      </c>
      <c r="G15" s="6">
        <v>0</v>
      </c>
      <c r="H15" s="6">
        <v>0</v>
      </c>
      <c r="I15" s="6">
        <v>0</v>
      </c>
      <c r="J15" s="6">
        <v>15</v>
      </c>
      <c r="K15" s="6">
        <v>15</v>
      </c>
      <c r="L15" s="6">
        <v>4646</v>
      </c>
      <c r="M15" s="6">
        <v>57.39</v>
      </c>
      <c r="N15" s="6">
        <v>0.5</v>
      </c>
      <c r="O15" s="6">
        <v>-152.35</v>
      </c>
      <c r="P15" s="6">
        <v>17698.150000000001</v>
      </c>
      <c r="Q15" s="6" t="s">
        <v>1</v>
      </c>
    </row>
    <row r="16" spans="2:17" x14ac:dyDescent="0.25">
      <c r="B16" s="6">
        <v>14300</v>
      </c>
      <c r="C16" s="6" t="s">
        <v>237</v>
      </c>
      <c r="D16" s="6">
        <v>0</v>
      </c>
      <c r="E16" s="6">
        <v>0</v>
      </c>
      <c r="F16" s="6">
        <v>0</v>
      </c>
      <c r="G16" s="6">
        <v>0</v>
      </c>
      <c r="H16" s="6">
        <v>0</v>
      </c>
      <c r="I16" s="6">
        <v>0</v>
      </c>
      <c r="J16" s="6">
        <v>18</v>
      </c>
      <c r="K16" s="6">
        <v>18</v>
      </c>
      <c r="L16" s="6">
        <v>1039</v>
      </c>
      <c r="M16" s="6">
        <v>58.66</v>
      </c>
      <c r="N16" s="6">
        <v>0.75</v>
      </c>
      <c r="O16" s="6">
        <v>-162.65</v>
      </c>
      <c r="P16" s="6">
        <v>17698.150000000001</v>
      </c>
      <c r="Q16" s="6" t="s">
        <v>1</v>
      </c>
    </row>
    <row r="17" spans="2:17" x14ac:dyDescent="0.25">
      <c r="B17" s="6">
        <v>14350</v>
      </c>
      <c r="C17" s="6" t="s">
        <v>237</v>
      </c>
      <c r="D17" s="6">
        <v>0</v>
      </c>
      <c r="E17" s="6">
        <v>0</v>
      </c>
      <c r="F17" s="6">
        <v>0</v>
      </c>
      <c r="G17" s="6">
        <v>0</v>
      </c>
      <c r="H17" s="6">
        <v>0</v>
      </c>
      <c r="I17" s="6">
        <v>0</v>
      </c>
      <c r="J17" s="6">
        <v>15</v>
      </c>
      <c r="K17" s="6">
        <v>15</v>
      </c>
      <c r="L17" s="6">
        <v>3353</v>
      </c>
      <c r="M17" s="6">
        <v>58.47</v>
      </c>
      <c r="N17" s="6">
        <v>0.85</v>
      </c>
      <c r="O17" s="6">
        <v>-173.55</v>
      </c>
      <c r="P17" s="6">
        <v>17698.150000000001</v>
      </c>
      <c r="Q17" s="6" t="s">
        <v>1</v>
      </c>
    </row>
    <row r="18" spans="2:17" x14ac:dyDescent="0.25">
      <c r="B18" s="6">
        <v>14400</v>
      </c>
      <c r="C18" s="6" t="s">
        <v>237</v>
      </c>
      <c r="D18" s="6">
        <v>0</v>
      </c>
      <c r="E18" s="6">
        <v>0</v>
      </c>
      <c r="F18" s="6">
        <v>0</v>
      </c>
      <c r="G18" s="6">
        <v>0</v>
      </c>
      <c r="H18" s="6">
        <v>0</v>
      </c>
      <c r="I18" s="6">
        <v>0</v>
      </c>
      <c r="J18" s="6">
        <v>21</v>
      </c>
      <c r="K18" s="6">
        <v>21</v>
      </c>
      <c r="L18" s="6">
        <v>1421</v>
      </c>
      <c r="M18" s="6">
        <v>55.75</v>
      </c>
      <c r="N18" s="6">
        <v>0.6</v>
      </c>
      <c r="O18" s="6">
        <v>-185.4</v>
      </c>
      <c r="P18" s="6">
        <v>17698.150000000001</v>
      </c>
      <c r="Q18" s="6" t="s">
        <v>1</v>
      </c>
    </row>
    <row r="19" spans="2:17" x14ac:dyDescent="0.25">
      <c r="B19" s="6">
        <v>14450</v>
      </c>
      <c r="C19" s="6" t="s">
        <v>237</v>
      </c>
      <c r="D19" s="6">
        <v>0</v>
      </c>
      <c r="E19" s="6">
        <v>0</v>
      </c>
      <c r="F19" s="6">
        <v>0</v>
      </c>
      <c r="G19" s="6">
        <v>0</v>
      </c>
      <c r="H19" s="6">
        <v>0</v>
      </c>
      <c r="I19" s="6">
        <v>0</v>
      </c>
      <c r="J19" s="6">
        <v>14</v>
      </c>
      <c r="K19" s="6">
        <v>14</v>
      </c>
      <c r="L19" s="6">
        <v>3944</v>
      </c>
      <c r="M19" s="6">
        <v>54.47</v>
      </c>
      <c r="N19" s="6">
        <v>0.55000000000000004</v>
      </c>
      <c r="O19" s="6">
        <v>-197.55</v>
      </c>
      <c r="P19" s="6">
        <v>17698.150000000001</v>
      </c>
      <c r="Q19" s="6" t="s">
        <v>1</v>
      </c>
    </row>
    <row r="20" spans="2:17" x14ac:dyDescent="0.25">
      <c r="B20" s="6">
        <v>14500</v>
      </c>
      <c r="C20" s="6" t="s">
        <v>237</v>
      </c>
      <c r="D20" s="6">
        <v>0</v>
      </c>
      <c r="E20" s="6">
        <v>0</v>
      </c>
      <c r="F20" s="6">
        <v>0</v>
      </c>
      <c r="G20" s="6">
        <v>0</v>
      </c>
      <c r="H20" s="6">
        <v>0</v>
      </c>
      <c r="I20" s="6">
        <v>0</v>
      </c>
      <c r="J20" s="6">
        <v>3455</v>
      </c>
      <c r="K20" s="6">
        <v>1417</v>
      </c>
      <c r="L20" s="6">
        <v>6851</v>
      </c>
      <c r="M20" s="6">
        <v>54.82</v>
      </c>
      <c r="N20" s="6">
        <v>0.7</v>
      </c>
      <c r="O20" s="6">
        <v>-0.20000000000000007</v>
      </c>
      <c r="P20" s="6">
        <v>17698.150000000001</v>
      </c>
      <c r="Q20" s="6" t="s">
        <v>1</v>
      </c>
    </row>
    <row r="21" spans="2:17" x14ac:dyDescent="0.25">
      <c r="B21" s="6">
        <v>14550</v>
      </c>
      <c r="C21" s="6" t="s">
        <v>237</v>
      </c>
      <c r="D21" s="6">
        <v>0</v>
      </c>
      <c r="E21" s="6">
        <v>0</v>
      </c>
      <c r="F21" s="6">
        <v>0</v>
      </c>
      <c r="G21" s="6">
        <v>0</v>
      </c>
      <c r="H21" s="6">
        <v>0</v>
      </c>
      <c r="I21" s="6">
        <v>0</v>
      </c>
      <c r="J21" s="6">
        <v>12</v>
      </c>
      <c r="K21" s="6">
        <v>12</v>
      </c>
      <c r="L21" s="6">
        <v>5085</v>
      </c>
      <c r="M21" s="6">
        <v>51.32</v>
      </c>
      <c r="N21" s="6">
        <v>0.4</v>
      </c>
      <c r="O21" s="6">
        <v>-224.1</v>
      </c>
      <c r="P21" s="6">
        <v>17698.150000000001</v>
      </c>
      <c r="Q21" s="6" t="s">
        <v>1</v>
      </c>
    </row>
    <row r="22" spans="2:17" x14ac:dyDescent="0.25">
      <c r="B22" s="6">
        <v>14600</v>
      </c>
      <c r="C22" s="6" t="s">
        <v>237</v>
      </c>
      <c r="D22" s="6">
        <v>0</v>
      </c>
      <c r="E22" s="6">
        <v>0</v>
      </c>
      <c r="F22" s="6">
        <v>0</v>
      </c>
      <c r="G22" s="6">
        <v>0</v>
      </c>
      <c r="H22" s="6">
        <v>0</v>
      </c>
      <c r="I22" s="6">
        <v>0</v>
      </c>
      <c r="J22" s="6">
        <v>103</v>
      </c>
      <c r="K22" s="6">
        <v>103</v>
      </c>
      <c r="L22" s="6">
        <v>1327</v>
      </c>
      <c r="M22" s="6">
        <v>53.44</v>
      </c>
      <c r="N22" s="6">
        <v>0.75</v>
      </c>
      <c r="O22" s="6">
        <v>-237.5</v>
      </c>
      <c r="P22" s="6">
        <v>17698.150000000001</v>
      </c>
      <c r="Q22" s="6" t="s">
        <v>1</v>
      </c>
    </row>
    <row r="23" spans="2:17" x14ac:dyDescent="0.25">
      <c r="B23" s="6">
        <v>14650</v>
      </c>
      <c r="C23" s="6" t="s">
        <v>237</v>
      </c>
      <c r="D23" s="6">
        <v>0</v>
      </c>
      <c r="E23" s="6">
        <v>0</v>
      </c>
      <c r="F23" s="6">
        <v>0</v>
      </c>
      <c r="G23" s="6">
        <v>0</v>
      </c>
      <c r="H23" s="6">
        <v>0</v>
      </c>
      <c r="I23" s="6">
        <v>0</v>
      </c>
      <c r="J23" s="6">
        <v>78</v>
      </c>
      <c r="K23" s="6">
        <v>78</v>
      </c>
      <c r="L23" s="6">
        <v>16730</v>
      </c>
      <c r="M23" s="6">
        <v>51.5</v>
      </c>
      <c r="N23" s="6">
        <v>0.6</v>
      </c>
      <c r="O23" s="6">
        <v>-251.5</v>
      </c>
      <c r="P23" s="6">
        <v>17698.150000000001</v>
      </c>
      <c r="Q23" s="6" t="s">
        <v>1</v>
      </c>
    </row>
    <row r="24" spans="2:17" x14ac:dyDescent="0.25">
      <c r="B24" s="6">
        <v>14700</v>
      </c>
      <c r="C24" s="6" t="s">
        <v>237</v>
      </c>
      <c r="D24" s="6">
        <v>0</v>
      </c>
      <c r="E24" s="6">
        <v>0</v>
      </c>
      <c r="F24" s="6">
        <v>0</v>
      </c>
      <c r="G24" s="6">
        <v>0</v>
      </c>
      <c r="H24" s="6">
        <v>0</v>
      </c>
      <c r="I24" s="6">
        <v>0</v>
      </c>
      <c r="J24" s="6">
        <v>48</v>
      </c>
      <c r="K24" s="6">
        <v>48</v>
      </c>
      <c r="L24" s="6">
        <v>212</v>
      </c>
      <c r="M24" s="6">
        <v>53.44</v>
      </c>
      <c r="N24" s="6">
        <v>1.05</v>
      </c>
      <c r="O24" s="6">
        <v>-266.05</v>
      </c>
      <c r="P24" s="6">
        <v>17698.150000000001</v>
      </c>
      <c r="Q24" s="6" t="s">
        <v>1</v>
      </c>
    </row>
    <row r="25" spans="2:17" x14ac:dyDescent="0.25">
      <c r="B25" s="6">
        <v>14750</v>
      </c>
      <c r="C25" s="6" t="s">
        <v>237</v>
      </c>
      <c r="D25" s="6">
        <v>0</v>
      </c>
      <c r="E25" s="6">
        <v>0</v>
      </c>
      <c r="F25" s="6">
        <v>0</v>
      </c>
      <c r="G25" s="6">
        <v>0</v>
      </c>
      <c r="H25" s="6">
        <v>0</v>
      </c>
      <c r="I25" s="6">
        <v>0</v>
      </c>
      <c r="J25" s="6">
        <v>5</v>
      </c>
      <c r="K25" s="6">
        <v>5</v>
      </c>
      <c r="L25" s="6">
        <v>3320</v>
      </c>
      <c r="M25" s="6">
        <v>51.77</v>
      </c>
      <c r="N25" s="6">
        <v>0.9</v>
      </c>
      <c r="O25" s="6">
        <v>-281.90000000000003</v>
      </c>
      <c r="P25" s="6">
        <v>17698.150000000001</v>
      </c>
      <c r="Q25" s="6" t="s">
        <v>1</v>
      </c>
    </row>
    <row r="26" spans="2:17" x14ac:dyDescent="0.25">
      <c r="B26" s="6">
        <v>14800</v>
      </c>
      <c r="C26" s="6" t="s">
        <v>237</v>
      </c>
      <c r="D26" s="6">
        <v>0</v>
      </c>
      <c r="E26" s="6">
        <v>0</v>
      </c>
      <c r="F26" s="6">
        <v>0</v>
      </c>
      <c r="G26" s="6">
        <v>0</v>
      </c>
      <c r="H26" s="6">
        <v>0</v>
      </c>
      <c r="I26" s="6">
        <v>0</v>
      </c>
      <c r="J26" s="6">
        <v>54</v>
      </c>
      <c r="K26" s="6">
        <v>40</v>
      </c>
      <c r="L26" s="6">
        <v>1417</v>
      </c>
      <c r="M26" s="6">
        <v>52.16</v>
      </c>
      <c r="N26" s="6">
        <v>1.1499999999999999</v>
      </c>
      <c r="O26" s="6">
        <v>-1.85</v>
      </c>
      <c r="P26" s="6">
        <v>17698.150000000001</v>
      </c>
      <c r="Q26" s="6" t="s">
        <v>1</v>
      </c>
    </row>
    <row r="27" spans="2:17" x14ac:dyDescent="0.25">
      <c r="B27" s="6">
        <v>14850</v>
      </c>
      <c r="C27" s="6" t="s">
        <v>237</v>
      </c>
      <c r="D27" s="6">
        <v>0</v>
      </c>
      <c r="E27" s="6">
        <v>0</v>
      </c>
      <c r="F27" s="6">
        <v>0</v>
      </c>
      <c r="G27" s="6">
        <v>0</v>
      </c>
      <c r="H27" s="6">
        <v>0</v>
      </c>
      <c r="I27" s="6">
        <v>0</v>
      </c>
      <c r="J27" s="6">
        <v>5</v>
      </c>
      <c r="K27" s="6">
        <v>5</v>
      </c>
      <c r="L27" s="6">
        <v>4360</v>
      </c>
      <c r="M27" s="6">
        <v>49.46</v>
      </c>
      <c r="N27" s="6">
        <v>0.8</v>
      </c>
      <c r="O27" s="6">
        <v>-315.2</v>
      </c>
      <c r="P27" s="6">
        <v>17698.150000000001</v>
      </c>
      <c r="Q27" s="6" t="s">
        <v>1</v>
      </c>
    </row>
    <row r="28" spans="2:17" x14ac:dyDescent="0.25">
      <c r="B28" s="6">
        <v>14900</v>
      </c>
      <c r="C28" s="6" t="s">
        <v>237</v>
      </c>
      <c r="D28" s="6">
        <v>0</v>
      </c>
      <c r="E28" s="6">
        <v>0</v>
      </c>
      <c r="F28" s="6">
        <v>0</v>
      </c>
      <c r="G28" s="6">
        <v>0</v>
      </c>
      <c r="H28" s="6">
        <v>0</v>
      </c>
      <c r="I28" s="6">
        <v>0</v>
      </c>
      <c r="J28" s="6">
        <v>879</v>
      </c>
      <c r="K28" s="6">
        <v>318</v>
      </c>
      <c r="L28" s="6">
        <v>1076</v>
      </c>
      <c r="M28" s="6">
        <v>49.68</v>
      </c>
      <c r="N28" s="6">
        <v>1</v>
      </c>
      <c r="O28" s="6">
        <v>9.9999999999999978E-2</v>
      </c>
      <c r="P28" s="6">
        <v>17698.150000000001</v>
      </c>
      <c r="Q28" s="6" t="s">
        <v>1</v>
      </c>
    </row>
    <row r="29" spans="2:17" x14ac:dyDescent="0.25">
      <c r="B29" s="6">
        <v>14950</v>
      </c>
      <c r="C29" s="6" t="s">
        <v>237</v>
      </c>
      <c r="D29" s="6">
        <v>0</v>
      </c>
      <c r="E29" s="6">
        <v>0</v>
      </c>
      <c r="F29" s="6">
        <v>0</v>
      </c>
      <c r="G29" s="6">
        <v>0</v>
      </c>
      <c r="H29" s="6">
        <v>0</v>
      </c>
      <c r="I29" s="6">
        <v>0</v>
      </c>
      <c r="J29" s="6">
        <v>209</v>
      </c>
      <c r="K29" s="6">
        <v>-8</v>
      </c>
      <c r="L29" s="6">
        <v>4483</v>
      </c>
      <c r="M29" s="6">
        <v>47.14</v>
      </c>
      <c r="N29" s="6">
        <v>0.7</v>
      </c>
      <c r="O29" s="6">
        <v>-0.45</v>
      </c>
      <c r="P29" s="6">
        <v>17698.150000000001</v>
      </c>
      <c r="Q29" s="6" t="s">
        <v>1</v>
      </c>
    </row>
    <row r="30" spans="2:17" x14ac:dyDescent="0.25">
      <c r="B30" s="6">
        <v>15000</v>
      </c>
      <c r="C30" s="6" t="s">
        <v>237</v>
      </c>
      <c r="D30" s="6">
        <v>0</v>
      </c>
      <c r="E30" s="6">
        <v>0</v>
      </c>
      <c r="F30" s="6">
        <v>0</v>
      </c>
      <c r="G30" s="6">
        <v>0</v>
      </c>
      <c r="H30" s="6">
        <v>0</v>
      </c>
      <c r="I30" s="6">
        <v>0</v>
      </c>
      <c r="J30" s="6">
        <v>16594</v>
      </c>
      <c r="K30" s="6">
        <v>7651</v>
      </c>
      <c r="L30" s="6">
        <v>19542</v>
      </c>
      <c r="M30" s="6">
        <v>48.63</v>
      </c>
      <c r="N30" s="6">
        <v>1.1499999999999999</v>
      </c>
      <c r="O30" s="6">
        <v>9.9999999999999881E-2</v>
      </c>
      <c r="P30" s="6">
        <v>17698.150000000001</v>
      </c>
      <c r="Q30" s="6" t="s">
        <v>1</v>
      </c>
    </row>
    <row r="31" spans="2:17" x14ac:dyDescent="0.25">
      <c r="B31" s="6">
        <v>15050</v>
      </c>
      <c r="C31" s="6" t="s">
        <v>237</v>
      </c>
      <c r="D31" s="6">
        <v>0</v>
      </c>
      <c r="E31" s="6">
        <v>0</v>
      </c>
      <c r="F31" s="6">
        <v>0</v>
      </c>
      <c r="G31" s="6">
        <v>0</v>
      </c>
      <c r="H31" s="6">
        <v>0</v>
      </c>
      <c r="I31" s="6">
        <v>0</v>
      </c>
      <c r="J31" s="6">
        <v>108</v>
      </c>
      <c r="K31" s="6">
        <v>108</v>
      </c>
      <c r="L31" s="6">
        <v>1989</v>
      </c>
      <c r="M31" s="6">
        <v>47.53</v>
      </c>
      <c r="N31" s="6">
        <v>1.1000000000000001</v>
      </c>
      <c r="O31" s="6">
        <v>-388.95</v>
      </c>
      <c r="P31" s="6">
        <v>17698.150000000001</v>
      </c>
      <c r="Q31" s="6" t="s">
        <v>1</v>
      </c>
    </row>
    <row r="32" spans="2:17" x14ac:dyDescent="0.25">
      <c r="B32" s="6">
        <v>15100</v>
      </c>
      <c r="C32" s="6" t="s">
        <v>237</v>
      </c>
      <c r="D32" s="6">
        <v>0</v>
      </c>
      <c r="E32" s="6">
        <v>0</v>
      </c>
      <c r="F32" s="6">
        <v>0</v>
      </c>
      <c r="G32" s="6">
        <v>0</v>
      </c>
      <c r="H32" s="6">
        <v>0</v>
      </c>
      <c r="I32" s="6">
        <v>0</v>
      </c>
      <c r="J32" s="6">
        <v>445</v>
      </c>
      <c r="K32" s="6">
        <v>328</v>
      </c>
      <c r="L32" s="6">
        <v>1326</v>
      </c>
      <c r="M32" s="6">
        <v>46.21</v>
      </c>
      <c r="N32" s="6">
        <v>1</v>
      </c>
      <c r="O32" s="6">
        <v>-0.14999999999999991</v>
      </c>
      <c r="P32" s="6">
        <v>17698.150000000001</v>
      </c>
      <c r="Q32" s="6" t="s">
        <v>1</v>
      </c>
    </row>
    <row r="33" spans="2:17" x14ac:dyDescent="0.25">
      <c r="B33" s="6">
        <v>15150</v>
      </c>
      <c r="C33" s="6" t="s">
        <v>237</v>
      </c>
      <c r="D33" s="6">
        <v>0</v>
      </c>
      <c r="E33" s="6">
        <v>0</v>
      </c>
      <c r="F33" s="6">
        <v>0</v>
      </c>
      <c r="G33" s="6">
        <v>0</v>
      </c>
      <c r="H33" s="6">
        <v>0</v>
      </c>
      <c r="I33" s="6">
        <v>0</v>
      </c>
      <c r="J33" s="6">
        <v>46</v>
      </c>
      <c r="K33" s="6">
        <v>28</v>
      </c>
      <c r="L33" s="6">
        <v>232</v>
      </c>
      <c r="M33" s="6">
        <v>46</v>
      </c>
      <c r="N33" s="6">
        <v>1.1499999999999999</v>
      </c>
      <c r="O33" s="6">
        <v>0</v>
      </c>
      <c r="P33" s="6">
        <v>17698.150000000001</v>
      </c>
      <c r="Q33" s="6" t="s">
        <v>1</v>
      </c>
    </row>
    <row r="34" spans="2:17" x14ac:dyDescent="0.25">
      <c r="B34" s="6">
        <v>15200</v>
      </c>
      <c r="C34" s="6" t="s">
        <v>237</v>
      </c>
      <c r="D34" s="6">
        <v>0</v>
      </c>
      <c r="E34" s="6">
        <v>0</v>
      </c>
      <c r="F34" s="6">
        <v>0</v>
      </c>
      <c r="G34" s="6">
        <v>0</v>
      </c>
      <c r="H34" s="6">
        <v>0</v>
      </c>
      <c r="I34" s="6">
        <v>0</v>
      </c>
      <c r="J34" s="6">
        <v>619</v>
      </c>
      <c r="K34" s="6">
        <v>408</v>
      </c>
      <c r="L34" s="6">
        <v>3454</v>
      </c>
      <c r="M34" s="6">
        <v>45.33</v>
      </c>
      <c r="N34" s="6">
        <v>1.2</v>
      </c>
      <c r="O34" s="6">
        <v>0</v>
      </c>
      <c r="P34" s="6">
        <v>17698.150000000001</v>
      </c>
      <c r="Q34" s="6" t="s">
        <v>1</v>
      </c>
    </row>
    <row r="35" spans="2:17" x14ac:dyDescent="0.25">
      <c r="B35" s="6">
        <v>15250</v>
      </c>
      <c r="C35" s="6" t="s">
        <v>237</v>
      </c>
      <c r="D35" s="6">
        <v>0</v>
      </c>
      <c r="E35" s="6">
        <v>0</v>
      </c>
      <c r="F35" s="6">
        <v>0</v>
      </c>
      <c r="G35" s="6">
        <v>0</v>
      </c>
      <c r="H35" s="6">
        <v>0</v>
      </c>
      <c r="I35" s="6">
        <v>0</v>
      </c>
      <c r="J35" s="6">
        <v>35</v>
      </c>
      <c r="K35" s="6">
        <v>35</v>
      </c>
      <c r="L35" s="6">
        <v>349</v>
      </c>
      <c r="M35" s="6">
        <v>43.39</v>
      </c>
      <c r="N35" s="6">
        <v>0.95</v>
      </c>
      <c r="O35" s="6">
        <v>-473.65</v>
      </c>
      <c r="P35" s="6">
        <v>17698.150000000001</v>
      </c>
      <c r="Q35" s="6" t="s">
        <v>1</v>
      </c>
    </row>
    <row r="36" spans="2:17" x14ac:dyDescent="0.25">
      <c r="B36" s="6">
        <v>15300</v>
      </c>
      <c r="C36" s="6" t="s">
        <v>237</v>
      </c>
      <c r="D36" s="6">
        <v>0</v>
      </c>
      <c r="E36" s="6">
        <v>0</v>
      </c>
      <c r="F36" s="6">
        <v>0</v>
      </c>
      <c r="G36" s="6">
        <v>0</v>
      </c>
      <c r="H36" s="6">
        <v>0</v>
      </c>
      <c r="I36" s="6">
        <v>0</v>
      </c>
      <c r="J36" s="6">
        <v>780</v>
      </c>
      <c r="K36" s="6">
        <v>-121</v>
      </c>
      <c r="L36" s="6">
        <v>912</v>
      </c>
      <c r="M36" s="6">
        <v>41.27</v>
      </c>
      <c r="N36" s="6">
        <v>0.7</v>
      </c>
      <c r="O36" s="6">
        <v>-0.65000000000000013</v>
      </c>
      <c r="P36" s="6">
        <v>17698.150000000001</v>
      </c>
      <c r="Q36" s="6" t="s">
        <v>1</v>
      </c>
    </row>
    <row r="37" spans="2:17" x14ac:dyDescent="0.25">
      <c r="B37" s="6">
        <v>15350</v>
      </c>
      <c r="C37" s="6" t="s">
        <v>237</v>
      </c>
      <c r="D37" s="6">
        <v>0</v>
      </c>
      <c r="E37" s="6">
        <v>0</v>
      </c>
      <c r="F37" s="6">
        <v>0</v>
      </c>
      <c r="G37" s="6">
        <v>0</v>
      </c>
      <c r="H37" s="6">
        <v>0</v>
      </c>
      <c r="I37" s="6">
        <v>0</v>
      </c>
      <c r="J37" s="6">
        <v>14</v>
      </c>
      <c r="K37" s="6">
        <v>-45</v>
      </c>
      <c r="L37" s="6">
        <v>1342</v>
      </c>
      <c r="M37" s="6">
        <v>42.71</v>
      </c>
      <c r="N37" s="6">
        <v>1.2</v>
      </c>
      <c r="O37" s="6">
        <v>-0.40000000000000013</v>
      </c>
      <c r="P37" s="6">
        <v>17698.150000000001</v>
      </c>
      <c r="Q37" s="6" t="s">
        <v>1</v>
      </c>
    </row>
    <row r="38" spans="2:17" x14ac:dyDescent="0.25">
      <c r="B38" s="6">
        <v>15400</v>
      </c>
      <c r="C38" s="6" t="s">
        <v>237</v>
      </c>
      <c r="D38" s="6">
        <v>1</v>
      </c>
      <c r="E38" s="6">
        <v>0</v>
      </c>
      <c r="F38" s="6">
        <v>0</v>
      </c>
      <c r="G38" s="6">
        <v>0</v>
      </c>
      <c r="H38" s="6">
        <v>2285</v>
      </c>
      <c r="I38" s="6">
        <v>0</v>
      </c>
      <c r="J38" s="6">
        <v>878</v>
      </c>
      <c r="K38" s="6">
        <v>43</v>
      </c>
      <c r="L38" s="6">
        <v>556</v>
      </c>
      <c r="M38" s="6">
        <v>42.54</v>
      </c>
      <c r="N38" s="6">
        <v>1.4</v>
      </c>
      <c r="O38" s="6">
        <v>-0.10000000000000007</v>
      </c>
      <c r="P38" s="6">
        <v>17698.150000000001</v>
      </c>
      <c r="Q38" s="6" t="s">
        <v>1</v>
      </c>
    </row>
    <row r="39" spans="2:17" x14ac:dyDescent="0.25">
      <c r="B39" s="6">
        <v>15450</v>
      </c>
      <c r="C39" s="6" t="s">
        <v>237</v>
      </c>
      <c r="D39" s="6">
        <v>0</v>
      </c>
      <c r="E39" s="6">
        <v>0</v>
      </c>
      <c r="F39" s="6">
        <v>0</v>
      </c>
      <c r="G39" s="6">
        <v>0</v>
      </c>
      <c r="H39" s="6">
        <v>0</v>
      </c>
      <c r="I39" s="6">
        <v>0</v>
      </c>
      <c r="J39" s="6">
        <v>32</v>
      </c>
      <c r="K39" s="6">
        <v>15</v>
      </c>
      <c r="L39" s="6">
        <v>1382</v>
      </c>
      <c r="M39" s="6">
        <v>42.98</v>
      </c>
      <c r="N39" s="6">
        <v>1.85</v>
      </c>
      <c r="O39" s="6">
        <v>0.35000000000000009</v>
      </c>
      <c r="P39" s="6">
        <v>17698.150000000001</v>
      </c>
      <c r="Q39" s="6" t="s">
        <v>1</v>
      </c>
    </row>
    <row r="40" spans="2:17" x14ac:dyDescent="0.25">
      <c r="B40" s="6">
        <v>15500</v>
      </c>
      <c r="C40" s="6" t="s">
        <v>237</v>
      </c>
      <c r="D40" s="6">
        <v>2</v>
      </c>
      <c r="E40" s="6">
        <v>0</v>
      </c>
      <c r="F40" s="6">
        <v>0</v>
      </c>
      <c r="G40" s="6">
        <v>0</v>
      </c>
      <c r="H40" s="6">
        <v>2190</v>
      </c>
      <c r="I40" s="6">
        <v>0</v>
      </c>
      <c r="J40" s="6">
        <v>48334</v>
      </c>
      <c r="K40" s="6">
        <v>-12</v>
      </c>
      <c r="L40" s="6">
        <v>40348</v>
      </c>
      <c r="M40" s="6">
        <v>41.09</v>
      </c>
      <c r="N40" s="6">
        <v>1.5</v>
      </c>
      <c r="O40" s="6">
        <v>-5.0000000000000051E-2</v>
      </c>
      <c r="P40" s="6">
        <v>17698.150000000001</v>
      </c>
      <c r="Q40" s="6" t="s">
        <v>1</v>
      </c>
    </row>
    <row r="41" spans="2:17" x14ac:dyDescent="0.25">
      <c r="B41" s="6">
        <v>15550</v>
      </c>
      <c r="C41" s="6" t="s">
        <v>237</v>
      </c>
      <c r="D41" s="6">
        <v>1</v>
      </c>
      <c r="E41" s="6">
        <v>0</v>
      </c>
      <c r="F41" s="6">
        <v>0</v>
      </c>
      <c r="G41" s="6">
        <v>0</v>
      </c>
      <c r="H41" s="6">
        <v>2001</v>
      </c>
      <c r="I41" s="6">
        <v>0</v>
      </c>
      <c r="J41" s="6">
        <v>56</v>
      </c>
      <c r="K41" s="6">
        <v>-4</v>
      </c>
      <c r="L41" s="6">
        <v>1446</v>
      </c>
      <c r="M41" s="6">
        <v>41.04</v>
      </c>
      <c r="N41" s="6">
        <v>1.8</v>
      </c>
      <c r="O41" s="6">
        <v>5.0000000000000051E-2</v>
      </c>
      <c r="P41" s="6">
        <v>17698.150000000001</v>
      </c>
      <c r="Q41" s="6" t="s">
        <v>1</v>
      </c>
    </row>
    <row r="42" spans="2:17" x14ac:dyDescent="0.25">
      <c r="B42" s="6">
        <v>15600</v>
      </c>
      <c r="C42" s="6" t="s">
        <v>237</v>
      </c>
      <c r="D42" s="6">
        <v>1</v>
      </c>
      <c r="E42" s="6">
        <v>0</v>
      </c>
      <c r="F42" s="6">
        <v>0</v>
      </c>
      <c r="G42" s="6">
        <v>0</v>
      </c>
      <c r="H42" s="6">
        <v>2085</v>
      </c>
      <c r="I42" s="6">
        <v>0</v>
      </c>
      <c r="J42" s="6">
        <v>8991</v>
      </c>
      <c r="K42" s="6">
        <v>26</v>
      </c>
      <c r="L42" s="6">
        <v>6216</v>
      </c>
      <c r="M42" s="6">
        <v>39.17</v>
      </c>
      <c r="N42" s="6">
        <v>1.45</v>
      </c>
      <c r="O42" s="6">
        <v>-0.19999999999999996</v>
      </c>
      <c r="P42" s="6">
        <v>17698.150000000001</v>
      </c>
      <c r="Q42" s="6" t="s">
        <v>1</v>
      </c>
    </row>
    <row r="43" spans="2:17" x14ac:dyDescent="0.25">
      <c r="B43" s="6">
        <v>15650</v>
      </c>
      <c r="C43" s="6" t="s">
        <v>237</v>
      </c>
      <c r="D43" s="6">
        <v>0</v>
      </c>
      <c r="E43" s="6">
        <v>0</v>
      </c>
      <c r="F43" s="6">
        <v>0</v>
      </c>
      <c r="G43" s="6">
        <v>0</v>
      </c>
      <c r="H43" s="6">
        <v>0</v>
      </c>
      <c r="I43" s="6">
        <v>0</v>
      </c>
      <c r="J43" s="6">
        <v>49</v>
      </c>
      <c r="K43" s="6">
        <v>17</v>
      </c>
      <c r="L43" s="6">
        <v>302</v>
      </c>
      <c r="M43" s="6">
        <v>43.2</v>
      </c>
      <c r="N43" s="6">
        <v>3.9</v>
      </c>
      <c r="O43" s="6">
        <v>2.4500000000000002</v>
      </c>
      <c r="P43" s="6">
        <v>17698.150000000001</v>
      </c>
      <c r="Q43" s="6" t="s">
        <v>1</v>
      </c>
    </row>
    <row r="44" spans="2:17" x14ac:dyDescent="0.25">
      <c r="B44" s="6">
        <v>15700</v>
      </c>
      <c r="C44" s="6" t="s">
        <v>237</v>
      </c>
      <c r="D44" s="6">
        <v>16</v>
      </c>
      <c r="E44" s="6">
        <v>0</v>
      </c>
      <c r="F44" s="6">
        <v>0</v>
      </c>
      <c r="G44" s="6">
        <v>0</v>
      </c>
      <c r="H44" s="6">
        <v>1960</v>
      </c>
      <c r="I44" s="6">
        <v>0</v>
      </c>
      <c r="J44" s="6">
        <v>2937</v>
      </c>
      <c r="K44" s="6">
        <v>-225</v>
      </c>
      <c r="L44" s="6">
        <v>3122</v>
      </c>
      <c r="M44" s="6">
        <v>37.56</v>
      </c>
      <c r="N44" s="6">
        <v>1.5</v>
      </c>
      <c r="O44" s="6">
        <v>-0.19999999999999996</v>
      </c>
      <c r="P44" s="6">
        <v>17698.150000000001</v>
      </c>
      <c r="Q44" s="6" t="s">
        <v>1</v>
      </c>
    </row>
    <row r="45" spans="2:17" x14ac:dyDescent="0.25">
      <c r="B45" s="6">
        <v>15750</v>
      </c>
      <c r="C45" s="6" t="s">
        <v>237</v>
      </c>
      <c r="D45" s="6">
        <v>1</v>
      </c>
      <c r="E45" s="6">
        <v>0</v>
      </c>
      <c r="F45" s="6">
        <v>0</v>
      </c>
      <c r="G45" s="6">
        <v>0</v>
      </c>
      <c r="H45" s="6">
        <v>860.45</v>
      </c>
      <c r="I45" s="6">
        <v>0</v>
      </c>
      <c r="J45" s="6">
        <v>80</v>
      </c>
      <c r="K45" s="6">
        <v>-39</v>
      </c>
      <c r="L45" s="6">
        <v>4458</v>
      </c>
      <c r="M45" s="6">
        <v>37.450000000000003</v>
      </c>
      <c r="N45" s="6">
        <v>1.8</v>
      </c>
      <c r="O45" s="6">
        <v>0.10000000000000007</v>
      </c>
      <c r="P45" s="6">
        <v>17698.150000000001</v>
      </c>
      <c r="Q45" s="6" t="s">
        <v>1</v>
      </c>
    </row>
    <row r="46" spans="2:17" x14ac:dyDescent="0.25">
      <c r="B46" s="6">
        <v>15800</v>
      </c>
      <c r="C46" s="6" t="s">
        <v>237</v>
      </c>
      <c r="D46" s="6">
        <v>26</v>
      </c>
      <c r="E46" s="6">
        <v>0</v>
      </c>
      <c r="F46" s="6">
        <v>0</v>
      </c>
      <c r="G46" s="6">
        <v>0</v>
      </c>
      <c r="H46" s="6">
        <v>1861.65</v>
      </c>
      <c r="I46" s="6">
        <v>0</v>
      </c>
      <c r="J46" s="6">
        <v>3386</v>
      </c>
      <c r="K46" s="6">
        <v>80</v>
      </c>
      <c r="L46" s="6">
        <v>4218</v>
      </c>
      <c r="M46" s="6">
        <v>36.32</v>
      </c>
      <c r="N46" s="6">
        <v>1.7</v>
      </c>
      <c r="O46" s="6">
        <v>0</v>
      </c>
      <c r="P46" s="6">
        <v>17698.150000000001</v>
      </c>
      <c r="Q46" s="6" t="s">
        <v>1</v>
      </c>
    </row>
    <row r="47" spans="2:17" x14ac:dyDescent="0.25">
      <c r="B47" s="6">
        <v>15850</v>
      </c>
      <c r="C47" s="6" t="s">
        <v>237</v>
      </c>
      <c r="D47" s="6">
        <v>0</v>
      </c>
      <c r="E47" s="6">
        <v>0</v>
      </c>
      <c r="F47" s="6">
        <v>0</v>
      </c>
      <c r="G47" s="6">
        <v>0</v>
      </c>
      <c r="H47" s="6">
        <v>0</v>
      </c>
      <c r="I47" s="6">
        <v>0</v>
      </c>
      <c r="J47" s="6">
        <v>64</v>
      </c>
      <c r="K47" s="6">
        <v>-23</v>
      </c>
      <c r="L47" s="6">
        <v>431</v>
      </c>
      <c r="M47" s="6">
        <v>34.5</v>
      </c>
      <c r="N47" s="6">
        <v>1.35</v>
      </c>
      <c r="O47" s="6">
        <v>-0.69999999999999973</v>
      </c>
      <c r="P47" s="6">
        <v>17698.150000000001</v>
      </c>
      <c r="Q47" s="6" t="s">
        <v>1</v>
      </c>
    </row>
    <row r="48" spans="2:17" x14ac:dyDescent="0.25">
      <c r="B48" s="6">
        <v>15900</v>
      </c>
      <c r="C48" s="6" t="s">
        <v>237</v>
      </c>
      <c r="D48" s="6">
        <v>17</v>
      </c>
      <c r="E48" s="6">
        <v>0</v>
      </c>
      <c r="F48" s="6">
        <v>0</v>
      </c>
      <c r="G48" s="6">
        <v>0</v>
      </c>
      <c r="H48" s="6">
        <v>1750</v>
      </c>
      <c r="I48" s="6">
        <v>0</v>
      </c>
      <c r="J48" s="6">
        <v>4131</v>
      </c>
      <c r="K48" s="6">
        <v>52</v>
      </c>
      <c r="L48" s="6">
        <v>4073</v>
      </c>
      <c r="M48" s="6">
        <v>34.17</v>
      </c>
      <c r="N48" s="6">
        <v>1.55</v>
      </c>
      <c r="O48" s="6">
        <v>-0.25</v>
      </c>
      <c r="P48" s="6">
        <v>17698.150000000001</v>
      </c>
      <c r="Q48" s="6" t="s">
        <v>1</v>
      </c>
    </row>
    <row r="49" spans="2:17" x14ac:dyDescent="0.25">
      <c r="B49" s="6">
        <v>15950</v>
      </c>
      <c r="C49" s="6" t="s">
        <v>237</v>
      </c>
      <c r="D49" s="6">
        <v>1</v>
      </c>
      <c r="E49" s="6">
        <v>0</v>
      </c>
      <c r="F49" s="6">
        <v>0</v>
      </c>
      <c r="G49" s="6">
        <v>0</v>
      </c>
      <c r="H49" s="6">
        <v>489.4</v>
      </c>
      <c r="I49" s="6">
        <v>0</v>
      </c>
      <c r="J49" s="6">
        <v>94</v>
      </c>
      <c r="K49" s="6">
        <v>-21</v>
      </c>
      <c r="L49" s="6">
        <v>508</v>
      </c>
      <c r="M49" s="6">
        <v>33.159999999999997</v>
      </c>
      <c r="N49" s="6">
        <v>1.5</v>
      </c>
      <c r="O49" s="6">
        <v>-0.45</v>
      </c>
      <c r="P49" s="6">
        <v>17698.150000000001</v>
      </c>
      <c r="Q49" s="6" t="s">
        <v>1</v>
      </c>
    </row>
    <row r="50" spans="2:17" x14ac:dyDescent="0.25">
      <c r="B50" s="6">
        <v>16000</v>
      </c>
      <c r="C50" s="6" t="s">
        <v>237</v>
      </c>
      <c r="D50" s="6">
        <v>149</v>
      </c>
      <c r="E50" s="6">
        <v>0</v>
      </c>
      <c r="F50" s="6">
        <v>31</v>
      </c>
      <c r="G50" s="6">
        <v>0</v>
      </c>
      <c r="H50" s="6">
        <v>1688.65</v>
      </c>
      <c r="I50" s="6">
        <v>25.550000000000185</v>
      </c>
      <c r="J50" s="6">
        <v>24694</v>
      </c>
      <c r="K50" s="6">
        <v>2488</v>
      </c>
      <c r="L50" s="6">
        <v>73267</v>
      </c>
      <c r="M50" s="6">
        <v>33.1</v>
      </c>
      <c r="N50" s="6">
        <v>1.85</v>
      </c>
      <c r="O50" s="6">
        <v>0</v>
      </c>
      <c r="P50" s="6">
        <v>17698.150000000001</v>
      </c>
      <c r="Q50" s="6" t="s">
        <v>1</v>
      </c>
    </row>
    <row r="51" spans="2:17" x14ac:dyDescent="0.25">
      <c r="B51" s="6">
        <v>16050</v>
      </c>
      <c r="C51" s="6" t="s">
        <v>237</v>
      </c>
      <c r="D51" s="6">
        <v>15</v>
      </c>
      <c r="E51" s="6">
        <v>-1</v>
      </c>
      <c r="F51" s="6">
        <v>1</v>
      </c>
      <c r="G51" s="6">
        <v>0</v>
      </c>
      <c r="H51" s="6">
        <v>1628.55</v>
      </c>
      <c r="I51" s="6">
        <v>-6.2000000000000455</v>
      </c>
      <c r="J51" s="6">
        <v>330</v>
      </c>
      <c r="K51" s="6">
        <v>-691</v>
      </c>
      <c r="L51" s="6">
        <v>2754</v>
      </c>
      <c r="M51" s="6">
        <v>32.99</v>
      </c>
      <c r="N51" s="6">
        <v>2.25</v>
      </c>
      <c r="O51" s="6">
        <v>0.30000000000000004</v>
      </c>
      <c r="P51" s="6">
        <v>17698.150000000001</v>
      </c>
      <c r="Q51" s="6" t="s">
        <v>1</v>
      </c>
    </row>
    <row r="52" spans="2:17" x14ac:dyDescent="0.25">
      <c r="B52" s="6">
        <v>16100</v>
      </c>
      <c r="C52" s="6" t="s">
        <v>237</v>
      </c>
      <c r="D52" s="6">
        <v>54</v>
      </c>
      <c r="E52" s="6">
        <v>0</v>
      </c>
      <c r="F52" s="6">
        <v>0</v>
      </c>
      <c r="G52" s="6">
        <v>0</v>
      </c>
      <c r="H52" s="6">
        <v>1553.75</v>
      </c>
      <c r="I52" s="6">
        <v>0</v>
      </c>
      <c r="J52" s="6">
        <v>4606</v>
      </c>
      <c r="K52" s="6">
        <v>922</v>
      </c>
      <c r="L52" s="6">
        <v>15494</v>
      </c>
      <c r="M52" s="6">
        <v>30.77</v>
      </c>
      <c r="N52" s="6">
        <v>1.6</v>
      </c>
      <c r="O52" s="6">
        <v>-0.25</v>
      </c>
      <c r="P52" s="6">
        <v>17698.150000000001</v>
      </c>
      <c r="Q52" s="6" t="s">
        <v>1</v>
      </c>
    </row>
    <row r="53" spans="2:17" x14ac:dyDescent="0.25">
      <c r="B53" s="6">
        <v>16150</v>
      </c>
      <c r="C53" s="6" t="s">
        <v>237</v>
      </c>
      <c r="D53" s="6">
        <v>41</v>
      </c>
      <c r="E53" s="6">
        <v>-1</v>
      </c>
      <c r="F53" s="6">
        <v>1</v>
      </c>
      <c r="G53" s="6">
        <v>0</v>
      </c>
      <c r="H53" s="6">
        <v>1500</v>
      </c>
      <c r="I53" s="6">
        <v>178.79999999999995</v>
      </c>
      <c r="J53" s="6">
        <v>235</v>
      </c>
      <c r="K53" s="6">
        <v>-91</v>
      </c>
      <c r="L53" s="6">
        <v>1405</v>
      </c>
      <c r="M53" s="6">
        <v>29.66</v>
      </c>
      <c r="N53" s="6">
        <v>1.5</v>
      </c>
      <c r="O53" s="6">
        <v>-0.35000000000000009</v>
      </c>
      <c r="P53" s="6">
        <v>17698.150000000001</v>
      </c>
      <c r="Q53" s="6" t="s">
        <v>1</v>
      </c>
    </row>
    <row r="54" spans="2:17" x14ac:dyDescent="0.25">
      <c r="B54" s="6">
        <v>16200</v>
      </c>
      <c r="C54" s="6" t="s">
        <v>237</v>
      </c>
      <c r="D54" s="6">
        <v>1019</v>
      </c>
      <c r="E54" s="6">
        <v>2</v>
      </c>
      <c r="F54" s="6">
        <v>6</v>
      </c>
      <c r="G54" s="6">
        <v>0</v>
      </c>
      <c r="H54" s="6">
        <v>1517.4</v>
      </c>
      <c r="I54" s="6">
        <v>46.050000000000182</v>
      </c>
      <c r="J54" s="6">
        <v>9885</v>
      </c>
      <c r="K54" s="6">
        <v>-2706</v>
      </c>
      <c r="L54" s="6">
        <v>35524</v>
      </c>
      <c r="M54" s="6">
        <v>28.79</v>
      </c>
      <c r="N54" s="6">
        <v>1.5</v>
      </c>
      <c r="O54" s="6">
        <v>-0.39999999999999991</v>
      </c>
      <c r="P54" s="6">
        <v>17698.150000000001</v>
      </c>
      <c r="Q54" s="6" t="s">
        <v>1</v>
      </c>
    </row>
    <row r="55" spans="2:17" x14ac:dyDescent="0.25">
      <c r="B55" s="6">
        <v>16250</v>
      </c>
      <c r="C55" s="6" t="s">
        <v>237</v>
      </c>
      <c r="D55" s="6">
        <v>46</v>
      </c>
      <c r="E55" s="6">
        <v>-2</v>
      </c>
      <c r="F55" s="6">
        <v>2</v>
      </c>
      <c r="G55" s="6">
        <v>0</v>
      </c>
      <c r="H55" s="6">
        <v>1410</v>
      </c>
      <c r="I55" s="6">
        <v>-8.7999999999999545</v>
      </c>
      <c r="J55" s="6">
        <v>1089</v>
      </c>
      <c r="K55" s="6">
        <v>-306</v>
      </c>
      <c r="L55" s="6">
        <v>4407</v>
      </c>
      <c r="M55" s="6">
        <v>28.54</v>
      </c>
      <c r="N55" s="6">
        <v>1.8</v>
      </c>
      <c r="O55" s="6">
        <v>-0.30000000000000004</v>
      </c>
      <c r="P55" s="6">
        <v>17698.150000000001</v>
      </c>
      <c r="Q55" s="6" t="s">
        <v>1</v>
      </c>
    </row>
    <row r="56" spans="2:17" x14ac:dyDescent="0.25">
      <c r="B56" s="6">
        <v>16300</v>
      </c>
      <c r="C56" s="6" t="s">
        <v>237</v>
      </c>
      <c r="D56" s="6">
        <v>371</v>
      </c>
      <c r="E56" s="6">
        <v>-2</v>
      </c>
      <c r="F56" s="6">
        <v>19</v>
      </c>
      <c r="G56" s="6">
        <v>0</v>
      </c>
      <c r="H56" s="6">
        <v>1403</v>
      </c>
      <c r="I56" s="6">
        <v>37.599999999999909</v>
      </c>
      <c r="J56" s="6">
        <v>7888</v>
      </c>
      <c r="K56" s="6">
        <v>-1866</v>
      </c>
      <c r="L56" s="6">
        <v>36722</v>
      </c>
      <c r="M56" s="6">
        <v>26.82</v>
      </c>
      <c r="N56" s="6">
        <v>1.4</v>
      </c>
      <c r="O56" s="6">
        <v>-0.80000000000000027</v>
      </c>
      <c r="P56" s="6">
        <v>17698.150000000001</v>
      </c>
      <c r="Q56" s="6" t="s">
        <v>1</v>
      </c>
    </row>
    <row r="57" spans="2:17" x14ac:dyDescent="0.25">
      <c r="B57" s="6">
        <v>16350</v>
      </c>
      <c r="C57" s="6" t="s">
        <v>237</v>
      </c>
      <c r="D57" s="6">
        <v>31</v>
      </c>
      <c r="E57" s="6">
        <v>1</v>
      </c>
      <c r="F57" s="6">
        <v>6</v>
      </c>
      <c r="G57" s="6">
        <v>0</v>
      </c>
      <c r="H57" s="6">
        <v>1361</v>
      </c>
      <c r="I57" s="6">
        <v>76.5</v>
      </c>
      <c r="J57" s="6">
        <v>1537</v>
      </c>
      <c r="K57" s="6">
        <v>-327</v>
      </c>
      <c r="L57" s="6">
        <v>8588</v>
      </c>
      <c r="M57" s="6">
        <v>26.75</v>
      </c>
      <c r="N57" s="6">
        <v>1.8</v>
      </c>
      <c r="O57" s="6">
        <v>-0.7</v>
      </c>
      <c r="P57" s="6">
        <v>17698.150000000001</v>
      </c>
      <c r="Q57" s="6" t="s">
        <v>1</v>
      </c>
    </row>
    <row r="58" spans="2:17" x14ac:dyDescent="0.25">
      <c r="B58" s="6">
        <v>16400</v>
      </c>
      <c r="C58" s="6" t="s">
        <v>237</v>
      </c>
      <c r="D58" s="6">
        <v>917</v>
      </c>
      <c r="E58" s="6">
        <v>-82</v>
      </c>
      <c r="F58" s="6">
        <v>138</v>
      </c>
      <c r="G58" s="6">
        <v>0</v>
      </c>
      <c r="H58" s="6">
        <v>1298.5</v>
      </c>
      <c r="I58" s="6">
        <v>23.549999999999955</v>
      </c>
      <c r="J58" s="6">
        <v>21314</v>
      </c>
      <c r="K58" s="6">
        <v>-636</v>
      </c>
      <c r="L58" s="6">
        <v>60626</v>
      </c>
      <c r="M58" s="6">
        <v>25.39</v>
      </c>
      <c r="N58" s="6">
        <v>1.55</v>
      </c>
      <c r="O58" s="6">
        <v>-0.99999999999999978</v>
      </c>
      <c r="P58" s="6">
        <v>17698.150000000001</v>
      </c>
      <c r="Q58" s="6" t="s">
        <v>1</v>
      </c>
    </row>
    <row r="59" spans="2:17" x14ac:dyDescent="0.25">
      <c r="B59" s="6">
        <v>16450</v>
      </c>
      <c r="C59" s="6" t="s">
        <v>237</v>
      </c>
      <c r="D59" s="6">
        <v>18</v>
      </c>
      <c r="E59" s="6">
        <v>-1</v>
      </c>
      <c r="F59" s="6">
        <v>5</v>
      </c>
      <c r="G59" s="6">
        <v>0</v>
      </c>
      <c r="H59" s="6">
        <v>1220</v>
      </c>
      <c r="I59" s="6">
        <v>8.9500000000000455</v>
      </c>
      <c r="J59" s="6">
        <v>3107</v>
      </c>
      <c r="K59" s="6">
        <v>-231</v>
      </c>
      <c r="L59" s="6">
        <v>8871</v>
      </c>
      <c r="M59" s="6">
        <v>25.47</v>
      </c>
      <c r="N59" s="6">
        <v>2.1</v>
      </c>
      <c r="O59" s="6">
        <v>-0.89999999999999991</v>
      </c>
      <c r="P59" s="6">
        <v>17698.150000000001</v>
      </c>
      <c r="Q59" s="6" t="s">
        <v>1</v>
      </c>
    </row>
    <row r="60" spans="2:17" x14ac:dyDescent="0.25">
      <c r="B60" s="6">
        <v>16500</v>
      </c>
      <c r="C60" s="6" t="s">
        <v>237</v>
      </c>
      <c r="D60" s="6">
        <v>2605</v>
      </c>
      <c r="E60" s="6">
        <v>-31</v>
      </c>
      <c r="F60" s="6">
        <v>439</v>
      </c>
      <c r="G60" s="6">
        <v>0</v>
      </c>
      <c r="H60" s="6">
        <v>1196.1500000000001</v>
      </c>
      <c r="I60" s="6">
        <v>29.450000000000045</v>
      </c>
      <c r="J60" s="6">
        <v>54412</v>
      </c>
      <c r="K60" s="6">
        <v>4389</v>
      </c>
      <c r="L60" s="6">
        <v>193344</v>
      </c>
      <c r="M60" s="6">
        <v>24.86</v>
      </c>
      <c r="N60" s="6">
        <v>2.2999999999999998</v>
      </c>
      <c r="O60" s="6">
        <v>-0.95000000000000018</v>
      </c>
      <c r="P60" s="6">
        <v>17698.150000000001</v>
      </c>
      <c r="Q60" s="6" t="s">
        <v>1</v>
      </c>
    </row>
    <row r="61" spans="2:17" x14ac:dyDescent="0.25">
      <c r="B61" s="6">
        <v>16550</v>
      </c>
      <c r="C61" s="6" t="s">
        <v>237</v>
      </c>
      <c r="D61" s="6">
        <v>81</v>
      </c>
      <c r="E61" s="6">
        <v>36</v>
      </c>
      <c r="F61" s="6">
        <v>47</v>
      </c>
      <c r="G61" s="6">
        <v>0</v>
      </c>
      <c r="H61" s="6">
        <v>1147.4000000000001</v>
      </c>
      <c r="I61" s="6">
        <v>23.100000000000136</v>
      </c>
      <c r="J61" s="6">
        <v>8731</v>
      </c>
      <c r="K61" s="6">
        <v>-306</v>
      </c>
      <c r="L61" s="6">
        <v>22199</v>
      </c>
      <c r="M61" s="6">
        <v>23.19</v>
      </c>
      <c r="N61" s="6">
        <v>1.8</v>
      </c>
      <c r="O61" s="6">
        <v>-1.85</v>
      </c>
      <c r="P61" s="6">
        <v>17698.150000000001</v>
      </c>
      <c r="Q61" s="6" t="s">
        <v>1</v>
      </c>
    </row>
    <row r="62" spans="2:17" x14ac:dyDescent="0.25">
      <c r="B62" s="6">
        <v>16600</v>
      </c>
      <c r="C62" s="6" t="s">
        <v>237</v>
      </c>
      <c r="D62" s="6">
        <v>447</v>
      </c>
      <c r="E62" s="6">
        <v>-12</v>
      </c>
      <c r="F62" s="6">
        <v>89</v>
      </c>
      <c r="G62" s="6">
        <v>0</v>
      </c>
      <c r="H62" s="6">
        <v>1097.05</v>
      </c>
      <c r="I62" s="6">
        <v>25.899999999999864</v>
      </c>
      <c r="J62" s="6">
        <v>30402</v>
      </c>
      <c r="K62" s="6">
        <v>6647</v>
      </c>
      <c r="L62" s="6">
        <v>127924</v>
      </c>
      <c r="M62" s="6">
        <v>23.42</v>
      </c>
      <c r="N62" s="6">
        <v>2.6</v>
      </c>
      <c r="O62" s="6">
        <v>-1.25</v>
      </c>
      <c r="P62" s="6">
        <v>17698.150000000001</v>
      </c>
      <c r="Q62" s="6" t="s">
        <v>1</v>
      </c>
    </row>
    <row r="63" spans="2:17" x14ac:dyDescent="0.25">
      <c r="B63" s="6">
        <v>16650</v>
      </c>
      <c r="C63" s="6" t="s">
        <v>237</v>
      </c>
      <c r="D63" s="6">
        <v>78</v>
      </c>
      <c r="E63" s="6">
        <v>4</v>
      </c>
      <c r="F63" s="6">
        <v>8</v>
      </c>
      <c r="G63" s="6">
        <v>0</v>
      </c>
      <c r="H63" s="6">
        <v>1072.2</v>
      </c>
      <c r="I63" s="6">
        <v>48.450000000000045</v>
      </c>
      <c r="J63" s="6">
        <v>4970</v>
      </c>
      <c r="K63" s="6">
        <v>1112</v>
      </c>
      <c r="L63" s="6">
        <v>33036</v>
      </c>
      <c r="M63" s="6">
        <v>22.24</v>
      </c>
      <c r="N63" s="6">
        <v>2.4</v>
      </c>
      <c r="O63" s="6">
        <v>-1.8000000000000005</v>
      </c>
      <c r="P63" s="6">
        <v>17698.150000000001</v>
      </c>
      <c r="Q63" s="6" t="s">
        <v>1</v>
      </c>
    </row>
    <row r="64" spans="2:17" x14ac:dyDescent="0.25">
      <c r="B64" s="6">
        <v>16700</v>
      </c>
      <c r="C64" s="6" t="s">
        <v>237</v>
      </c>
      <c r="D64" s="6">
        <v>659</v>
      </c>
      <c r="E64" s="6">
        <v>-21</v>
      </c>
      <c r="F64" s="6">
        <v>298</v>
      </c>
      <c r="G64" s="6">
        <v>0</v>
      </c>
      <c r="H64" s="6">
        <v>999.75</v>
      </c>
      <c r="I64" s="6">
        <v>28</v>
      </c>
      <c r="J64" s="6">
        <v>44275</v>
      </c>
      <c r="K64" s="6">
        <v>3145</v>
      </c>
      <c r="L64" s="6">
        <v>177545</v>
      </c>
      <c r="M64" s="6">
        <v>21.5</v>
      </c>
      <c r="N64" s="6">
        <v>2.5499999999999998</v>
      </c>
      <c r="O64" s="6">
        <v>-2.1000000000000005</v>
      </c>
      <c r="P64" s="6">
        <v>17698.150000000001</v>
      </c>
      <c r="Q64" s="6" t="s">
        <v>1</v>
      </c>
    </row>
    <row r="65" spans="2:17" x14ac:dyDescent="0.25">
      <c r="B65" s="6">
        <v>16750</v>
      </c>
      <c r="C65" s="6" t="s">
        <v>237</v>
      </c>
      <c r="D65" s="6">
        <v>171</v>
      </c>
      <c r="E65" s="6">
        <v>0</v>
      </c>
      <c r="F65" s="6">
        <v>7</v>
      </c>
      <c r="G65" s="6">
        <v>0</v>
      </c>
      <c r="H65" s="6">
        <v>973.1</v>
      </c>
      <c r="I65" s="6">
        <v>50.050000000000068</v>
      </c>
      <c r="J65" s="6">
        <v>10082</v>
      </c>
      <c r="K65" s="6">
        <v>-3921</v>
      </c>
      <c r="L65" s="6">
        <v>42746</v>
      </c>
      <c r="M65" s="6">
        <v>21.21</v>
      </c>
      <c r="N65" s="6">
        <v>3.15</v>
      </c>
      <c r="O65" s="6">
        <v>-1.6999999999999995</v>
      </c>
      <c r="P65" s="6">
        <v>17698.150000000001</v>
      </c>
      <c r="Q65" s="6" t="s">
        <v>1</v>
      </c>
    </row>
    <row r="66" spans="2:17" x14ac:dyDescent="0.25">
      <c r="B66" s="6">
        <v>16800</v>
      </c>
      <c r="C66" s="6" t="s">
        <v>237</v>
      </c>
      <c r="D66" s="6">
        <v>1443</v>
      </c>
      <c r="E66" s="6">
        <v>-42</v>
      </c>
      <c r="F66" s="6">
        <v>218</v>
      </c>
      <c r="G66" s="6">
        <v>0</v>
      </c>
      <c r="H66" s="6">
        <v>898.9</v>
      </c>
      <c r="I66" s="6">
        <v>26.75</v>
      </c>
      <c r="J66" s="6">
        <v>48901</v>
      </c>
      <c r="K66" s="6">
        <v>1975</v>
      </c>
      <c r="L66" s="6">
        <v>240845</v>
      </c>
      <c r="M66" s="6">
        <v>20.49</v>
      </c>
      <c r="N66" s="6">
        <v>3.4</v>
      </c>
      <c r="O66" s="6">
        <v>-2.5000000000000004</v>
      </c>
      <c r="P66" s="6">
        <v>17698.150000000001</v>
      </c>
      <c r="Q66" s="6" t="s">
        <v>1</v>
      </c>
    </row>
    <row r="67" spans="2:17" x14ac:dyDescent="0.25">
      <c r="B67" s="6">
        <v>16850</v>
      </c>
      <c r="C67" s="6" t="s">
        <v>237</v>
      </c>
      <c r="D67" s="6">
        <v>97</v>
      </c>
      <c r="E67" s="6">
        <v>11</v>
      </c>
      <c r="F67" s="6">
        <v>41</v>
      </c>
      <c r="G67" s="6">
        <v>0</v>
      </c>
      <c r="H67" s="6">
        <v>834.75</v>
      </c>
      <c r="I67" s="6">
        <v>11.649999999999975</v>
      </c>
      <c r="J67" s="6">
        <v>5055</v>
      </c>
      <c r="K67" s="6">
        <v>-2460</v>
      </c>
      <c r="L67" s="6">
        <v>50772</v>
      </c>
      <c r="M67" s="6">
        <v>19.34</v>
      </c>
      <c r="N67" s="6">
        <v>3.2</v>
      </c>
      <c r="O67" s="6">
        <v>-3.45</v>
      </c>
      <c r="P67" s="6">
        <v>17698.150000000001</v>
      </c>
      <c r="Q67" s="6" t="s">
        <v>1</v>
      </c>
    </row>
    <row r="68" spans="2:17" x14ac:dyDescent="0.25">
      <c r="B68" s="6">
        <v>16900</v>
      </c>
      <c r="C68" s="6" t="s">
        <v>237</v>
      </c>
      <c r="D68" s="6">
        <v>879</v>
      </c>
      <c r="E68" s="6">
        <v>69</v>
      </c>
      <c r="F68" s="6">
        <v>363</v>
      </c>
      <c r="G68" s="6">
        <v>0</v>
      </c>
      <c r="H68" s="6">
        <v>806.3</v>
      </c>
      <c r="I68" s="6">
        <v>31.349999999999909</v>
      </c>
      <c r="J68" s="6">
        <v>43830</v>
      </c>
      <c r="K68" s="6">
        <v>25875</v>
      </c>
      <c r="L68" s="6">
        <v>230996</v>
      </c>
      <c r="M68" s="6">
        <v>19.3</v>
      </c>
      <c r="N68" s="6">
        <v>4.3499999999999996</v>
      </c>
      <c r="O68" s="6">
        <v>-3</v>
      </c>
      <c r="P68" s="6">
        <v>17698.150000000001</v>
      </c>
      <c r="Q68" s="6" t="s">
        <v>1</v>
      </c>
    </row>
    <row r="69" spans="2:17" x14ac:dyDescent="0.25">
      <c r="B69" s="6">
        <v>16950</v>
      </c>
      <c r="C69" s="6" t="s">
        <v>237</v>
      </c>
      <c r="D69" s="6">
        <v>64</v>
      </c>
      <c r="E69" s="6">
        <v>-5</v>
      </c>
      <c r="F69" s="6">
        <v>30</v>
      </c>
      <c r="G69" s="6">
        <v>0</v>
      </c>
      <c r="H69" s="6">
        <v>758.1</v>
      </c>
      <c r="I69" s="6">
        <v>26.350000000000023</v>
      </c>
      <c r="J69" s="6">
        <v>6031</v>
      </c>
      <c r="K69" s="6">
        <v>365</v>
      </c>
      <c r="L69" s="6">
        <v>60918</v>
      </c>
      <c r="M69" s="6">
        <v>18.399999999999999</v>
      </c>
      <c r="N69" s="6">
        <v>4.5</v>
      </c>
      <c r="O69" s="6">
        <v>-3.8000000000000007</v>
      </c>
      <c r="P69" s="6">
        <v>17698.150000000001</v>
      </c>
      <c r="Q69" s="6" t="s">
        <v>1</v>
      </c>
    </row>
    <row r="70" spans="2:17" x14ac:dyDescent="0.25">
      <c r="B70" s="6">
        <v>17000</v>
      </c>
      <c r="C70" s="6" t="s">
        <v>237</v>
      </c>
      <c r="D70" s="6">
        <v>2777</v>
      </c>
      <c r="E70" s="6">
        <v>390</v>
      </c>
      <c r="F70" s="6">
        <v>3844</v>
      </c>
      <c r="G70" s="6">
        <v>0</v>
      </c>
      <c r="H70" s="6">
        <v>700</v>
      </c>
      <c r="I70" s="6">
        <v>23.5</v>
      </c>
      <c r="J70" s="6">
        <v>90783</v>
      </c>
      <c r="K70" s="6">
        <v>43332</v>
      </c>
      <c r="L70" s="6">
        <v>426395</v>
      </c>
      <c r="M70" s="6">
        <v>17.64</v>
      </c>
      <c r="N70" s="6">
        <v>4.9000000000000004</v>
      </c>
      <c r="O70" s="6">
        <v>-4.6999999999999993</v>
      </c>
      <c r="P70" s="6">
        <v>17698.150000000001</v>
      </c>
      <c r="Q70" s="6" t="s">
        <v>1</v>
      </c>
    </row>
    <row r="71" spans="2:17" x14ac:dyDescent="0.25">
      <c r="B71" s="6">
        <v>17050</v>
      </c>
      <c r="C71" s="6" t="s">
        <v>237</v>
      </c>
      <c r="D71" s="6">
        <v>120</v>
      </c>
      <c r="E71" s="6">
        <v>-2</v>
      </c>
      <c r="F71" s="6">
        <v>47</v>
      </c>
      <c r="G71" s="6">
        <v>0</v>
      </c>
      <c r="H71" s="6">
        <v>640.15</v>
      </c>
      <c r="I71" s="6">
        <v>1.5</v>
      </c>
      <c r="J71" s="6">
        <v>11506</v>
      </c>
      <c r="K71" s="6">
        <v>4903</v>
      </c>
      <c r="L71" s="6">
        <v>96285</v>
      </c>
      <c r="M71" s="6">
        <v>17.12</v>
      </c>
      <c r="N71" s="6">
        <v>5.8</v>
      </c>
      <c r="O71" s="6">
        <v>-5.1499999999999995</v>
      </c>
      <c r="P71" s="6">
        <v>17698.150000000001</v>
      </c>
      <c r="Q71" s="6" t="s">
        <v>1</v>
      </c>
    </row>
    <row r="72" spans="2:17" x14ac:dyDescent="0.25">
      <c r="B72" s="6">
        <v>17100</v>
      </c>
      <c r="C72" s="6" t="s">
        <v>237</v>
      </c>
      <c r="D72" s="6">
        <v>1975</v>
      </c>
      <c r="E72" s="6">
        <v>-22</v>
      </c>
      <c r="F72" s="6">
        <v>2209</v>
      </c>
      <c r="G72" s="6">
        <v>0</v>
      </c>
      <c r="H72" s="6">
        <v>606</v>
      </c>
      <c r="I72" s="6">
        <v>24.100000000000023</v>
      </c>
      <c r="J72" s="6">
        <v>35094</v>
      </c>
      <c r="K72" s="6">
        <v>16751</v>
      </c>
      <c r="L72" s="6">
        <v>321339</v>
      </c>
      <c r="M72" s="6">
        <v>16.27</v>
      </c>
      <c r="N72" s="6">
        <v>6.2</v>
      </c>
      <c r="O72" s="6">
        <v>-6.9999999999999991</v>
      </c>
      <c r="P72" s="6">
        <v>17698.150000000001</v>
      </c>
      <c r="Q72" s="6" t="s">
        <v>1</v>
      </c>
    </row>
    <row r="73" spans="2:17" x14ac:dyDescent="0.25">
      <c r="B73" s="6">
        <v>17150</v>
      </c>
      <c r="C73" s="6" t="s">
        <v>237</v>
      </c>
      <c r="D73" s="6">
        <v>680</v>
      </c>
      <c r="E73" s="6">
        <v>-6</v>
      </c>
      <c r="F73" s="6">
        <v>1043</v>
      </c>
      <c r="G73" s="6">
        <v>0</v>
      </c>
      <c r="H73" s="6">
        <v>552.85</v>
      </c>
      <c r="I73" s="6">
        <v>20.800000000000068</v>
      </c>
      <c r="J73" s="6">
        <v>13903</v>
      </c>
      <c r="K73" s="6">
        <v>6987</v>
      </c>
      <c r="L73" s="6">
        <v>161851</v>
      </c>
      <c r="M73" s="6">
        <v>15.35</v>
      </c>
      <c r="N73" s="6">
        <v>6.55</v>
      </c>
      <c r="O73" s="6">
        <v>-8.9499999999999993</v>
      </c>
      <c r="P73" s="6">
        <v>17698.150000000001</v>
      </c>
      <c r="Q73" s="6" t="s">
        <v>1</v>
      </c>
    </row>
    <row r="74" spans="2:17" x14ac:dyDescent="0.25">
      <c r="B74" s="6">
        <v>17200</v>
      </c>
      <c r="C74" s="6" t="s">
        <v>237</v>
      </c>
      <c r="D74" s="6">
        <v>2899</v>
      </c>
      <c r="E74" s="6">
        <v>336</v>
      </c>
      <c r="F74" s="6">
        <v>8171</v>
      </c>
      <c r="G74" s="6">
        <v>0</v>
      </c>
      <c r="H74" s="6">
        <v>503</v>
      </c>
      <c r="I74" s="6">
        <v>15.100000000000025</v>
      </c>
      <c r="J74" s="6">
        <v>49158</v>
      </c>
      <c r="K74" s="6">
        <v>21124</v>
      </c>
      <c r="L74" s="6">
        <v>449726</v>
      </c>
      <c r="M74" s="6">
        <v>14.9</v>
      </c>
      <c r="N74" s="6">
        <v>8.1</v>
      </c>
      <c r="O74" s="6">
        <v>-10.8</v>
      </c>
      <c r="P74" s="6">
        <v>17698.150000000001</v>
      </c>
      <c r="Q74" s="6" t="s">
        <v>1</v>
      </c>
    </row>
    <row r="75" spans="2:17" x14ac:dyDescent="0.25">
      <c r="B75" s="6">
        <v>17250</v>
      </c>
      <c r="C75" s="6" t="s">
        <v>237</v>
      </c>
      <c r="D75" s="6">
        <v>504</v>
      </c>
      <c r="E75" s="6">
        <v>59</v>
      </c>
      <c r="F75" s="6">
        <v>1302</v>
      </c>
      <c r="G75" s="6">
        <v>0</v>
      </c>
      <c r="H75" s="6">
        <v>458.95</v>
      </c>
      <c r="I75" s="6">
        <v>18.349999999999969</v>
      </c>
      <c r="J75" s="6">
        <v>22871</v>
      </c>
      <c r="K75" s="6">
        <v>15363</v>
      </c>
      <c r="L75" s="6">
        <v>216625</v>
      </c>
      <c r="M75" s="6">
        <v>14.51</v>
      </c>
      <c r="N75" s="6">
        <v>10.25</v>
      </c>
      <c r="O75" s="6">
        <v>-12.7</v>
      </c>
      <c r="P75" s="6">
        <v>17698.150000000001</v>
      </c>
      <c r="Q75" s="6" t="s">
        <v>1</v>
      </c>
    </row>
    <row r="76" spans="2:17" x14ac:dyDescent="0.25">
      <c r="B76" s="6">
        <v>17300</v>
      </c>
      <c r="C76" s="6" t="s">
        <v>237</v>
      </c>
      <c r="D76" s="6">
        <v>3385</v>
      </c>
      <c r="E76" s="6">
        <v>-271</v>
      </c>
      <c r="F76" s="6">
        <v>17584</v>
      </c>
      <c r="G76" s="6">
        <v>0</v>
      </c>
      <c r="H76" s="6">
        <v>413.7</v>
      </c>
      <c r="I76" s="6">
        <v>18.050000000000011</v>
      </c>
      <c r="J76" s="6">
        <v>50749</v>
      </c>
      <c r="K76" s="6">
        <v>13689</v>
      </c>
      <c r="L76" s="6">
        <v>506723</v>
      </c>
      <c r="M76" s="6">
        <v>14.12</v>
      </c>
      <c r="N76" s="6">
        <v>13</v>
      </c>
      <c r="O76" s="6">
        <v>-15.25</v>
      </c>
      <c r="P76" s="6">
        <v>17698.150000000001</v>
      </c>
      <c r="Q76" s="6" t="s">
        <v>1</v>
      </c>
    </row>
    <row r="77" spans="2:17" x14ac:dyDescent="0.25">
      <c r="B77" s="6">
        <v>17350</v>
      </c>
      <c r="C77" s="6" t="s">
        <v>237</v>
      </c>
      <c r="D77" s="6">
        <v>934</v>
      </c>
      <c r="E77" s="6">
        <v>37</v>
      </c>
      <c r="F77" s="6">
        <v>5573</v>
      </c>
      <c r="G77" s="6">
        <v>0</v>
      </c>
      <c r="H77" s="6">
        <v>365.3</v>
      </c>
      <c r="I77" s="6">
        <v>8.5500000000000114</v>
      </c>
      <c r="J77" s="6">
        <v>16288</v>
      </c>
      <c r="K77" s="6">
        <v>8176</v>
      </c>
      <c r="L77" s="6">
        <v>300802</v>
      </c>
      <c r="M77" s="6">
        <v>13.79</v>
      </c>
      <c r="N77" s="6">
        <v>16</v>
      </c>
      <c r="O77" s="6">
        <v>-19.100000000000001</v>
      </c>
      <c r="P77" s="6">
        <v>17698.150000000001</v>
      </c>
      <c r="Q77" s="6" t="s">
        <v>1</v>
      </c>
    </row>
    <row r="78" spans="2:17" x14ac:dyDescent="0.25">
      <c r="B78" s="6">
        <v>17400</v>
      </c>
      <c r="C78" s="6" t="s">
        <v>237</v>
      </c>
      <c r="D78" s="6">
        <v>4900</v>
      </c>
      <c r="E78" s="6">
        <v>-904</v>
      </c>
      <c r="F78" s="6">
        <v>57161</v>
      </c>
      <c r="G78" s="6">
        <v>0</v>
      </c>
      <c r="H78" s="6">
        <v>320</v>
      </c>
      <c r="I78" s="6">
        <v>5.9499999999999886</v>
      </c>
      <c r="J78" s="6">
        <v>62122</v>
      </c>
      <c r="K78" s="6">
        <v>23648</v>
      </c>
      <c r="L78" s="6">
        <v>701078</v>
      </c>
      <c r="M78" s="6">
        <v>13.36</v>
      </c>
      <c r="N78" s="6">
        <v>21.1</v>
      </c>
      <c r="O78" s="6">
        <v>-22.5</v>
      </c>
      <c r="P78" s="6">
        <v>17698.150000000001</v>
      </c>
      <c r="Q78" s="6" t="s">
        <v>1</v>
      </c>
    </row>
    <row r="79" spans="2:17" x14ac:dyDescent="0.25">
      <c r="B79" s="6">
        <v>17450</v>
      </c>
      <c r="C79" s="6" t="s">
        <v>237</v>
      </c>
      <c r="D79" s="6">
        <v>922</v>
      </c>
      <c r="E79" s="6">
        <v>-82</v>
      </c>
      <c r="F79" s="6">
        <v>18729</v>
      </c>
      <c r="G79" s="6">
        <v>0</v>
      </c>
      <c r="H79" s="6">
        <v>275.55</v>
      </c>
      <c r="I79" s="6">
        <v>2.3500000000000227</v>
      </c>
      <c r="J79" s="6">
        <v>18334</v>
      </c>
      <c r="K79" s="6">
        <v>8901</v>
      </c>
      <c r="L79" s="6">
        <v>319512</v>
      </c>
      <c r="M79" s="6">
        <v>13.31</v>
      </c>
      <c r="N79" s="6">
        <v>28.8</v>
      </c>
      <c r="O79" s="6">
        <v>-25.2</v>
      </c>
      <c r="P79" s="6">
        <v>17698.150000000001</v>
      </c>
      <c r="Q79" s="6" t="s">
        <v>1</v>
      </c>
    </row>
    <row r="80" spans="2:17" x14ac:dyDescent="0.25">
      <c r="B80" s="6">
        <v>17500</v>
      </c>
      <c r="C80" s="6" t="s">
        <v>237</v>
      </c>
      <c r="D80" s="6">
        <v>25720</v>
      </c>
      <c r="E80" s="6">
        <v>5625</v>
      </c>
      <c r="F80" s="6">
        <v>281843</v>
      </c>
      <c r="G80" s="6">
        <v>7.91</v>
      </c>
      <c r="H80" s="6">
        <v>235.5</v>
      </c>
      <c r="I80" s="6">
        <v>-1.6999999999999886</v>
      </c>
      <c r="J80" s="6">
        <v>85104</v>
      </c>
      <c r="K80" s="6">
        <v>23630</v>
      </c>
      <c r="L80" s="6">
        <v>1189307</v>
      </c>
      <c r="M80" s="6">
        <v>13.01</v>
      </c>
      <c r="N80" s="6">
        <v>36.950000000000003</v>
      </c>
      <c r="O80" s="6">
        <v>-29.549999999999997</v>
      </c>
      <c r="P80" s="6">
        <v>17698.150000000001</v>
      </c>
      <c r="Q80" s="6" t="s">
        <v>1</v>
      </c>
    </row>
    <row r="81" spans="2:17" x14ac:dyDescent="0.25">
      <c r="B81" s="6">
        <v>17550</v>
      </c>
      <c r="C81" s="6" t="s">
        <v>237</v>
      </c>
      <c r="D81" s="6">
        <v>3487</v>
      </c>
      <c r="E81" s="6">
        <v>150</v>
      </c>
      <c r="F81" s="6">
        <v>143887</v>
      </c>
      <c r="G81" s="6">
        <v>8.92</v>
      </c>
      <c r="H81" s="6">
        <v>198</v>
      </c>
      <c r="I81" s="6">
        <v>-3.3000000000000114</v>
      </c>
      <c r="J81" s="6">
        <v>32454</v>
      </c>
      <c r="K81" s="6">
        <v>5464</v>
      </c>
      <c r="L81" s="6">
        <v>485913</v>
      </c>
      <c r="M81" s="6">
        <v>12.83</v>
      </c>
      <c r="N81" s="6">
        <v>48</v>
      </c>
      <c r="O81" s="6">
        <v>-33.400000000000006</v>
      </c>
      <c r="P81" s="6">
        <v>17698.150000000001</v>
      </c>
      <c r="Q81" s="6" t="s">
        <v>1</v>
      </c>
    </row>
    <row r="82" spans="2:17" x14ac:dyDescent="0.25">
      <c r="B82" s="6">
        <v>17600</v>
      </c>
      <c r="C82" s="6" t="s">
        <v>237</v>
      </c>
      <c r="D82" s="6">
        <v>28641</v>
      </c>
      <c r="E82" s="6">
        <v>4522</v>
      </c>
      <c r="F82" s="6">
        <v>998145</v>
      </c>
      <c r="G82" s="6">
        <v>9.1300000000000008</v>
      </c>
      <c r="H82" s="6">
        <v>161</v>
      </c>
      <c r="I82" s="6">
        <v>-10.199999999999989</v>
      </c>
      <c r="J82" s="6">
        <v>73029</v>
      </c>
      <c r="K82" s="6">
        <v>37048</v>
      </c>
      <c r="L82" s="6">
        <v>1801049</v>
      </c>
      <c r="M82" s="6">
        <v>13.11</v>
      </c>
      <c r="N82" s="6">
        <v>65.45</v>
      </c>
      <c r="O82" s="6">
        <v>-34.549999999999997</v>
      </c>
      <c r="P82" s="6">
        <v>17698.150000000001</v>
      </c>
      <c r="Q82" s="6" t="s">
        <v>1</v>
      </c>
    </row>
    <row r="83" spans="2:17" x14ac:dyDescent="0.25">
      <c r="B83" s="6">
        <v>17650</v>
      </c>
      <c r="C83" s="6" t="s">
        <v>237</v>
      </c>
      <c r="D83" s="6">
        <v>15794</v>
      </c>
      <c r="E83" s="6">
        <v>1054</v>
      </c>
      <c r="F83" s="6">
        <v>863830</v>
      </c>
      <c r="G83" s="6">
        <v>9.68</v>
      </c>
      <c r="H83" s="6">
        <v>131.4</v>
      </c>
      <c r="I83" s="6">
        <v>-11.150000000000006</v>
      </c>
      <c r="J83" s="6">
        <v>26595</v>
      </c>
      <c r="K83" s="6">
        <v>13469</v>
      </c>
      <c r="L83" s="6">
        <v>1045956</v>
      </c>
      <c r="M83" s="6">
        <v>12.84</v>
      </c>
      <c r="N83" s="6">
        <v>81.45</v>
      </c>
      <c r="O83" s="6">
        <v>-40.200000000000003</v>
      </c>
      <c r="P83" s="6">
        <v>17698.150000000001</v>
      </c>
      <c r="Q83" s="6" t="s">
        <v>1</v>
      </c>
    </row>
    <row r="84" spans="2:17" x14ac:dyDescent="0.25">
      <c r="B84" s="6">
        <v>17700</v>
      </c>
      <c r="C84" s="6" t="s">
        <v>237</v>
      </c>
      <c r="D84" s="6">
        <v>95722</v>
      </c>
      <c r="E84" s="6">
        <v>21777</v>
      </c>
      <c r="F84" s="6">
        <v>2577111</v>
      </c>
      <c r="G84" s="6">
        <v>9.6</v>
      </c>
      <c r="H84" s="6">
        <v>101.1</v>
      </c>
      <c r="I84" s="6">
        <v>-15.800000000000011</v>
      </c>
      <c r="J84" s="6">
        <v>59482</v>
      </c>
      <c r="K84" s="6">
        <v>8097</v>
      </c>
      <c r="L84" s="6">
        <v>1756580</v>
      </c>
      <c r="M84" s="6">
        <v>12.95</v>
      </c>
      <c r="N84" s="6">
        <v>104</v>
      </c>
      <c r="O84" s="6">
        <v>-42.25</v>
      </c>
      <c r="P84" s="6">
        <v>17698.150000000001</v>
      </c>
      <c r="Q84" s="6" t="s">
        <v>1</v>
      </c>
    </row>
    <row r="85" spans="2:17" x14ac:dyDescent="0.25">
      <c r="B85" s="6">
        <v>17750</v>
      </c>
      <c r="C85" s="6" t="s">
        <v>237</v>
      </c>
      <c r="D85" s="6">
        <v>29814</v>
      </c>
      <c r="E85" s="6">
        <v>16932</v>
      </c>
      <c r="F85" s="6">
        <v>865123</v>
      </c>
      <c r="G85" s="6">
        <v>9.8800000000000008</v>
      </c>
      <c r="H85" s="6">
        <v>78.599999999999994</v>
      </c>
      <c r="I85" s="6">
        <v>-16.900000000000006</v>
      </c>
      <c r="J85" s="6">
        <v>5945</v>
      </c>
      <c r="K85" s="6">
        <v>2444</v>
      </c>
      <c r="L85" s="6">
        <v>302562</v>
      </c>
      <c r="M85" s="6">
        <v>13.06</v>
      </c>
      <c r="N85" s="6">
        <v>130</v>
      </c>
      <c r="O85" s="6">
        <v>-43.349999999999994</v>
      </c>
      <c r="P85" s="6">
        <v>17698.150000000001</v>
      </c>
      <c r="Q85" s="6" t="s">
        <v>1</v>
      </c>
    </row>
    <row r="86" spans="2:17" x14ac:dyDescent="0.25">
      <c r="B86" s="6">
        <v>17800</v>
      </c>
      <c r="C86" s="6" t="s">
        <v>237</v>
      </c>
      <c r="D86" s="6">
        <v>117090</v>
      </c>
      <c r="E86" s="6">
        <v>60156</v>
      </c>
      <c r="F86" s="6">
        <v>1510104</v>
      </c>
      <c r="G86" s="6">
        <v>9.92</v>
      </c>
      <c r="H86" s="6">
        <v>58.3</v>
      </c>
      <c r="I86" s="6">
        <v>-16.5</v>
      </c>
      <c r="J86" s="6">
        <v>18079</v>
      </c>
      <c r="K86" s="6">
        <v>7006</v>
      </c>
      <c r="L86" s="6">
        <v>414265</v>
      </c>
      <c r="M86" s="6">
        <v>13.14</v>
      </c>
      <c r="N86" s="6">
        <v>159</v>
      </c>
      <c r="O86" s="6">
        <v>-45.349999999999994</v>
      </c>
      <c r="P86" s="6">
        <v>17698.150000000001</v>
      </c>
      <c r="Q86" s="6" t="s">
        <v>1</v>
      </c>
    </row>
    <row r="87" spans="2:17" x14ac:dyDescent="0.25">
      <c r="B87" s="6">
        <v>17850</v>
      </c>
      <c r="C87" s="6" t="s">
        <v>237</v>
      </c>
      <c r="D87" s="6">
        <v>21593</v>
      </c>
      <c r="E87" s="6">
        <v>10043</v>
      </c>
      <c r="F87" s="6">
        <v>441419</v>
      </c>
      <c r="G87" s="6">
        <v>10.199999999999999</v>
      </c>
      <c r="H87" s="6">
        <v>44</v>
      </c>
      <c r="I87" s="6">
        <v>-14.950000000000005</v>
      </c>
      <c r="J87" s="6">
        <v>1675</v>
      </c>
      <c r="K87" s="6">
        <v>174</v>
      </c>
      <c r="L87" s="6">
        <v>49209</v>
      </c>
      <c r="M87" s="6">
        <v>13.46</v>
      </c>
      <c r="N87" s="6">
        <v>193.15</v>
      </c>
      <c r="O87" s="6">
        <v>-43</v>
      </c>
      <c r="P87" s="6">
        <v>17698.150000000001</v>
      </c>
      <c r="Q87" s="6" t="s">
        <v>1</v>
      </c>
    </row>
    <row r="88" spans="2:17" x14ac:dyDescent="0.25">
      <c r="B88" s="6">
        <v>17900</v>
      </c>
      <c r="C88" s="6" t="s">
        <v>237</v>
      </c>
      <c r="D88" s="6">
        <v>59476</v>
      </c>
      <c r="E88" s="6">
        <v>20484</v>
      </c>
      <c r="F88" s="6">
        <v>1006203</v>
      </c>
      <c r="G88" s="6">
        <v>10.06</v>
      </c>
      <c r="H88" s="6">
        <v>30</v>
      </c>
      <c r="I88" s="6">
        <v>-14.5</v>
      </c>
      <c r="J88" s="6">
        <v>4735</v>
      </c>
      <c r="K88" s="6">
        <v>2809</v>
      </c>
      <c r="L88" s="6">
        <v>73503</v>
      </c>
      <c r="M88" s="6">
        <v>14.3</v>
      </c>
      <c r="N88" s="6">
        <v>234.05</v>
      </c>
      <c r="O88" s="6">
        <v>-39.399999999999977</v>
      </c>
      <c r="P88" s="6">
        <v>17698.150000000001</v>
      </c>
      <c r="Q88" s="6" t="s">
        <v>1</v>
      </c>
    </row>
    <row r="89" spans="2:17" x14ac:dyDescent="0.25">
      <c r="B89" s="6">
        <v>17950</v>
      </c>
      <c r="C89" s="6" t="s">
        <v>237</v>
      </c>
      <c r="D89" s="6">
        <v>27482</v>
      </c>
      <c r="E89" s="6">
        <v>15825</v>
      </c>
      <c r="F89" s="6">
        <v>413107</v>
      </c>
      <c r="G89" s="6">
        <v>10.3</v>
      </c>
      <c r="H89" s="6">
        <v>21.7</v>
      </c>
      <c r="I89" s="6">
        <v>-12.400000000000002</v>
      </c>
      <c r="J89" s="6">
        <v>834</v>
      </c>
      <c r="K89" s="6">
        <v>547</v>
      </c>
      <c r="L89" s="6">
        <v>7521</v>
      </c>
      <c r="M89" s="6">
        <v>14.48</v>
      </c>
      <c r="N89" s="6">
        <v>271.85000000000002</v>
      </c>
      <c r="O89" s="6">
        <v>-43.149999999999977</v>
      </c>
      <c r="P89" s="6">
        <v>17698.150000000001</v>
      </c>
      <c r="Q89" s="6" t="s">
        <v>1</v>
      </c>
    </row>
    <row r="90" spans="2:17" x14ac:dyDescent="0.25">
      <c r="B90" s="5">
        <v>18000</v>
      </c>
      <c r="C90" s="5" t="s">
        <v>237</v>
      </c>
      <c r="D90" s="5">
        <v>100288</v>
      </c>
      <c r="E90" s="5">
        <v>43596</v>
      </c>
      <c r="F90" s="5">
        <v>1109497</v>
      </c>
      <c r="G90" s="5">
        <v>10.4</v>
      </c>
      <c r="H90" s="5">
        <v>14.9</v>
      </c>
      <c r="I90" s="5">
        <v>-10.050000000000001</v>
      </c>
      <c r="J90" s="5">
        <v>3780</v>
      </c>
      <c r="K90" s="5">
        <v>1681</v>
      </c>
      <c r="L90" s="5">
        <v>43760</v>
      </c>
      <c r="M90" s="5">
        <v>15.16</v>
      </c>
      <c r="N90" s="5">
        <v>315</v>
      </c>
      <c r="O90" s="5">
        <v>-39.75</v>
      </c>
      <c r="P90" s="5">
        <v>17698.150000000001</v>
      </c>
      <c r="Q90" s="5" t="s">
        <v>1</v>
      </c>
    </row>
    <row r="91" spans="2:17" x14ac:dyDescent="0.25">
      <c r="B91" s="5">
        <v>18050</v>
      </c>
      <c r="C91" s="5" t="s">
        <v>237</v>
      </c>
      <c r="D91" s="5">
        <v>30118</v>
      </c>
      <c r="E91" s="5">
        <v>17597</v>
      </c>
      <c r="F91" s="5">
        <v>443162</v>
      </c>
      <c r="G91" s="5">
        <v>10.43</v>
      </c>
      <c r="H91" s="5">
        <v>9.8000000000000007</v>
      </c>
      <c r="I91" s="5">
        <v>-8.5</v>
      </c>
      <c r="J91" s="5">
        <v>79</v>
      </c>
      <c r="K91" s="5">
        <v>-5</v>
      </c>
      <c r="L91" s="5">
        <v>496</v>
      </c>
      <c r="M91" s="5">
        <v>15.99</v>
      </c>
      <c r="N91" s="5">
        <v>360.35</v>
      </c>
      <c r="O91" s="5">
        <v>-36.899999999999977</v>
      </c>
      <c r="P91" s="5">
        <v>17698.150000000001</v>
      </c>
      <c r="Q91" s="5" t="s">
        <v>1</v>
      </c>
    </row>
    <row r="92" spans="2:17" x14ac:dyDescent="0.25">
      <c r="B92" s="5">
        <v>18100</v>
      </c>
      <c r="C92" s="5" t="s">
        <v>237</v>
      </c>
      <c r="D92" s="5">
        <v>54862</v>
      </c>
      <c r="E92" s="5">
        <v>16563</v>
      </c>
      <c r="F92" s="5">
        <v>766277</v>
      </c>
      <c r="G92" s="5">
        <v>10.69</v>
      </c>
      <c r="H92" s="5">
        <v>6.9</v>
      </c>
      <c r="I92" s="5">
        <v>-6.25</v>
      </c>
      <c r="J92" s="5">
        <v>359</v>
      </c>
      <c r="K92" s="5">
        <v>51</v>
      </c>
      <c r="L92" s="5">
        <v>3689</v>
      </c>
      <c r="M92" s="5">
        <v>17.260000000000002</v>
      </c>
      <c r="N92" s="5">
        <v>409</v>
      </c>
      <c r="O92" s="5">
        <v>-33</v>
      </c>
      <c r="P92" s="5">
        <v>17698.150000000001</v>
      </c>
      <c r="Q92" s="5" t="s">
        <v>1</v>
      </c>
    </row>
    <row r="93" spans="2:17" x14ac:dyDescent="0.25">
      <c r="B93" s="5">
        <v>18150</v>
      </c>
      <c r="C93" s="5" t="s">
        <v>237</v>
      </c>
      <c r="D93" s="5">
        <v>26396</v>
      </c>
      <c r="E93" s="5">
        <v>12887</v>
      </c>
      <c r="F93" s="5">
        <v>248134</v>
      </c>
      <c r="G93" s="5">
        <v>10.68</v>
      </c>
      <c r="H93" s="5">
        <v>4.25</v>
      </c>
      <c r="I93" s="5">
        <v>-5.3000000000000007</v>
      </c>
      <c r="J93" s="5">
        <v>31</v>
      </c>
      <c r="K93" s="5">
        <v>3</v>
      </c>
      <c r="L93" s="5">
        <v>80</v>
      </c>
      <c r="M93" s="5">
        <v>17.440000000000001</v>
      </c>
      <c r="N93" s="5">
        <v>452.1</v>
      </c>
      <c r="O93" s="5">
        <v>-35.899999999999977</v>
      </c>
      <c r="P93" s="5">
        <v>17698.150000000001</v>
      </c>
      <c r="Q93" s="5" t="s">
        <v>1</v>
      </c>
    </row>
    <row r="94" spans="2:17" x14ac:dyDescent="0.25">
      <c r="B94" s="5">
        <v>18200</v>
      </c>
      <c r="C94" s="5" t="s">
        <v>237</v>
      </c>
      <c r="D94" s="5">
        <v>64258</v>
      </c>
      <c r="E94" s="5">
        <v>26845</v>
      </c>
      <c r="F94" s="5">
        <v>566836</v>
      </c>
      <c r="G94" s="5">
        <v>11.3</v>
      </c>
      <c r="H94" s="5">
        <v>3.55</v>
      </c>
      <c r="I94" s="5">
        <v>-3.3500000000000005</v>
      </c>
      <c r="J94" s="5">
        <v>512</v>
      </c>
      <c r="K94" s="5">
        <v>38</v>
      </c>
      <c r="L94" s="5">
        <v>2236</v>
      </c>
      <c r="M94" s="5">
        <v>19.57</v>
      </c>
      <c r="N94" s="5">
        <v>506.1</v>
      </c>
      <c r="O94" s="5">
        <v>-27.699999999999932</v>
      </c>
      <c r="P94" s="5">
        <v>17698.150000000001</v>
      </c>
      <c r="Q94" s="5" t="s">
        <v>1</v>
      </c>
    </row>
    <row r="95" spans="2:17" x14ac:dyDescent="0.25">
      <c r="B95" s="5">
        <v>18250</v>
      </c>
      <c r="C95" s="5" t="s">
        <v>237</v>
      </c>
      <c r="D95" s="5">
        <v>63049</v>
      </c>
      <c r="E95" s="5">
        <v>48849</v>
      </c>
      <c r="F95" s="5">
        <v>229613</v>
      </c>
      <c r="G95" s="5">
        <v>11.73</v>
      </c>
      <c r="H95" s="5">
        <v>2.75</v>
      </c>
      <c r="I95" s="5">
        <v>-2.2000000000000002</v>
      </c>
      <c r="J95" s="5">
        <v>16</v>
      </c>
      <c r="K95" s="5">
        <v>2</v>
      </c>
      <c r="L95" s="5">
        <v>38</v>
      </c>
      <c r="M95" s="5">
        <v>21.72</v>
      </c>
      <c r="N95" s="5">
        <v>560.20000000000005</v>
      </c>
      <c r="O95" s="5">
        <v>-30.449999999999932</v>
      </c>
      <c r="P95" s="5">
        <v>17698.150000000001</v>
      </c>
      <c r="Q95" s="5" t="s">
        <v>1</v>
      </c>
    </row>
    <row r="96" spans="2:17" x14ac:dyDescent="0.25">
      <c r="B96" s="5">
        <v>18300</v>
      </c>
      <c r="C96" s="5" t="s">
        <v>237</v>
      </c>
      <c r="D96" s="5">
        <v>69130</v>
      </c>
      <c r="E96" s="5">
        <v>42044</v>
      </c>
      <c r="F96" s="5">
        <v>397894</v>
      </c>
      <c r="G96" s="5">
        <v>12.46</v>
      </c>
      <c r="H96" s="5">
        <v>2.5</v>
      </c>
      <c r="I96" s="5">
        <v>-1.35</v>
      </c>
      <c r="J96" s="5">
        <v>126</v>
      </c>
      <c r="K96" s="5">
        <v>32</v>
      </c>
      <c r="L96" s="5">
        <v>276</v>
      </c>
      <c r="M96" s="5">
        <v>21.39</v>
      </c>
      <c r="N96" s="5">
        <v>601.85</v>
      </c>
      <c r="O96" s="5">
        <v>-32.799999999999955</v>
      </c>
      <c r="P96" s="5">
        <v>17698.150000000001</v>
      </c>
      <c r="Q96" s="5" t="s">
        <v>1</v>
      </c>
    </row>
    <row r="97" spans="2:17" x14ac:dyDescent="0.25">
      <c r="B97" s="5">
        <v>18350</v>
      </c>
      <c r="C97" s="5" t="s">
        <v>237</v>
      </c>
      <c r="D97" s="5">
        <v>19780</v>
      </c>
      <c r="E97" s="5">
        <v>10127</v>
      </c>
      <c r="F97" s="5">
        <v>90693</v>
      </c>
      <c r="G97" s="5">
        <v>13.05</v>
      </c>
      <c r="H97" s="5">
        <v>2.15</v>
      </c>
      <c r="I97" s="5">
        <v>-0.85000000000000009</v>
      </c>
      <c r="J97" s="5">
        <v>6</v>
      </c>
      <c r="K97" s="5">
        <v>4</v>
      </c>
      <c r="L97" s="5">
        <v>9</v>
      </c>
      <c r="M97" s="5">
        <v>24.25</v>
      </c>
      <c r="N97" s="5">
        <v>659.35</v>
      </c>
      <c r="O97" s="5">
        <v>-152.54999999999995</v>
      </c>
      <c r="P97" s="5">
        <v>17698.150000000001</v>
      </c>
      <c r="Q97" s="5" t="s">
        <v>1</v>
      </c>
    </row>
    <row r="98" spans="2:17" x14ac:dyDescent="0.25">
      <c r="B98" s="5">
        <v>18400</v>
      </c>
      <c r="C98" s="5" t="s">
        <v>237</v>
      </c>
      <c r="D98" s="5">
        <v>34355</v>
      </c>
      <c r="E98" s="5">
        <v>7092</v>
      </c>
      <c r="F98" s="5">
        <v>227045</v>
      </c>
      <c r="G98" s="5">
        <v>13.39</v>
      </c>
      <c r="H98" s="5">
        <v>1.65</v>
      </c>
      <c r="I98" s="5">
        <v>-0.70000000000000018</v>
      </c>
      <c r="J98" s="5">
        <v>20</v>
      </c>
      <c r="K98" s="5">
        <v>2</v>
      </c>
      <c r="L98" s="5">
        <v>46</v>
      </c>
      <c r="M98" s="5">
        <v>23.89</v>
      </c>
      <c r="N98" s="5">
        <v>701.6</v>
      </c>
      <c r="O98" s="5">
        <v>-24.350000000000023</v>
      </c>
      <c r="P98" s="5">
        <v>17698.150000000001</v>
      </c>
      <c r="Q98" s="5" t="s">
        <v>1</v>
      </c>
    </row>
    <row r="99" spans="2:17" x14ac:dyDescent="0.25">
      <c r="B99" s="5">
        <v>18450</v>
      </c>
      <c r="C99" s="5" t="s">
        <v>237</v>
      </c>
      <c r="D99" s="5">
        <v>6782</v>
      </c>
      <c r="E99" s="5">
        <v>-1282</v>
      </c>
      <c r="F99" s="5">
        <v>29807</v>
      </c>
      <c r="G99" s="5">
        <v>14.04</v>
      </c>
      <c r="H99" s="5">
        <v>1.5</v>
      </c>
      <c r="I99" s="5">
        <v>-0.35000000000000009</v>
      </c>
      <c r="J99" s="5">
        <v>14</v>
      </c>
      <c r="K99" s="5">
        <v>3</v>
      </c>
      <c r="L99" s="5">
        <v>7</v>
      </c>
      <c r="M99" s="5">
        <v>18.47</v>
      </c>
      <c r="N99" s="5">
        <v>729.6</v>
      </c>
      <c r="O99" s="5">
        <v>-57.399999999999977</v>
      </c>
      <c r="P99" s="5">
        <v>17698.150000000001</v>
      </c>
      <c r="Q99" s="5" t="s">
        <v>1</v>
      </c>
    </row>
    <row r="100" spans="2:17" x14ac:dyDescent="0.25">
      <c r="B100" s="5">
        <v>18500</v>
      </c>
      <c r="C100" s="5" t="s">
        <v>237</v>
      </c>
      <c r="D100" s="5">
        <v>66747</v>
      </c>
      <c r="E100" s="5">
        <v>24617</v>
      </c>
      <c r="F100" s="5">
        <v>355368</v>
      </c>
      <c r="G100" s="5">
        <v>14.86</v>
      </c>
      <c r="H100" s="5">
        <v>1.5</v>
      </c>
      <c r="I100" s="5">
        <v>-0.25</v>
      </c>
      <c r="J100" s="5">
        <v>298</v>
      </c>
      <c r="K100" s="5">
        <v>-50</v>
      </c>
      <c r="L100" s="5">
        <v>632</v>
      </c>
      <c r="M100" s="5">
        <v>26.64</v>
      </c>
      <c r="N100" s="5">
        <v>802.75</v>
      </c>
      <c r="O100" s="5">
        <v>-27.899999999999977</v>
      </c>
      <c r="P100" s="5">
        <v>17698.150000000001</v>
      </c>
      <c r="Q100" s="5" t="s">
        <v>1</v>
      </c>
    </row>
    <row r="101" spans="2:17" x14ac:dyDescent="0.25">
      <c r="B101" s="5">
        <v>18550</v>
      </c>
      <c r="C101" s="5" t="s">
        <v>237</v>
      </c>
      <c r="D101" s="5">
        <v>2020</v>
      </c>
      <c r="E101" s="5">
        <v>-1143</v>
      </c>
      <c r="F101" s="5">
        <v>9880</v>
      </c>
      <c r="G101" s="5">
        <v>15.37</v>
      </c>
      <c r="H101" s="5">
        <v>1.3</v>
      </c>
      <c r="I101" s="5">
        <v>-0.19999999999999996</v>
      </c>
      <c r="J101" s="5">
        <v>6</v>
      </c>
      <c r="K101" s="5">
        <v>0</v>
      </c>
      <c r="L101" s="5">
        <v>0</v>
      </c>
      <c r="M101" s="5">
        <v>0</v>
      </c>
      <c r="N101" s="5">
        <v>883.5</v>
      </c>
      <c r="O101" s="5">
        <v>0</v>
      </c>
      <c r="P101" s="5">
        <v>17698.150000000001</v>
      </c>
      <c r="Q101" s="5" t="s">
        <v>1</v>
      </c>
    </row>
    <row r="102" spans="2:17" x14ac:dyDescent="0.25">
      <c r="B102" s="5">
        <v>18600</v>
      </c>
      <c r="C102" s="5" t="s">
        <v>237</v>
      </c>
      <c r="D102" s="5">
        <v>20603</v>
      </c>
      <c r="E102" s="5">
        <v>1817</v>
      </c>
      <c r="F102" s="5">
        <v>55061</v>
      </c>
      <c r="G102" s="5">
        <v>15.64</v>
      </c>
      <c r="H102" s="5">
        <v>1</v>
      </c>
      <c r="I102" s="5">
        <v>-0.39999999999999991</v>
      </c>
      <c r="J102" s="5">
        <v>8</v>
      </c>
      <c r="K102" s="5">
        <v>-1</v>
      </c>
      <c r="L102" s="5">
        <v>2</v>
      </c>
      <c r="M102" s="5">
        <v>36.770000000000003</v>
      </c>
      <c r="N102" s="5">
        <v>939.9</v>
      </c>
      <c r="O102" s="5">
        <v>4.8999999999999773</v>
      </c>
      <c r="P102" s="5">
        <v>17698.150000000001</v>
      </c>
      <c r="Q102" s="5" t="s">
        <v>1</v>
      </c>
    </row>
    <row r="103" spans="2:17" x14ac:dyDescent="0.25">
      <c r="B103" s="5">
        <v>18650</v>
      </c>
      <c r="C103" s="5" t="s">
        <v>237</v>
      </c>
      <c r="D103" s="5">
        <v>992</v>
      </c>
      <c r="E103" s="5">
        <v>-352</v>
      </c>
      <c r="F103" s="5">
        <v>6501</v>
      </c>
      <c r="G103" s="5">
        <v>16.5</v>
      </c>
      <c r="H103" s="5">
        <v>1.05</v>
      </c>
      <c r="I103" s="5">
        <v>-0.25</v>
      </c>
      <c r="J103" s="5">
        <v>2</v>
      </c>
      <c r="K103" s="5">
        <v>0</v>
      </c>
      <c r="L103" s="5">
        <v>0</v>
      </c>
      <c r="M103" s="5">
        <v>0</v>
      </c>
      <c r="N103" s="5">
        <v>984.95</v>
      </c>
      <c r="O103" s="5">
        <v>0</v>
      </c>
      <c r="P103" s="5">
        <v>17698.150000000001</v>
      </c>
      <c r="Q103" s="5" t="s">
        <v>1</v>
      </c>
    </row>
    <row r="104" spans="2:17" x14ac:dyDescent="0.25">
      <c r="B104" s="5">
        <v>18700</v>
      </c>
      <c r="C104" s="5" t="s">
        <v>237</v>
      </c>
      <c r="D104" s="5">
        <v>15343</v>
      </c>
      <c r="E104" s="5">
        <v>2439</v>
      </c>
      <c r="F104" s="5">
        <v>67400</v>
      </c>
      <c r="G104" s="5">
        <v>17.16</v>
      </c>
      <c r="H104" s="5">
        <v>1</v>
      </c>
      <c r="I104" s="5">
        <v>-0.19999999999999996</v>
      </c>
      <c r="J104" s="5">
        <v>4</v>
      </c>
      <c r="K104" s="5">
        <v>0</v>
      </c>
      <c r="L104" s="5">
        <v>0</v>
      </c>
      <c r="M104" s="5">
        <v>0</v>
      </c>
      <c r="N104" s="5">
        <v>1015.15</v>
      </c>
      <c r="O104" s="5">
        <v>0</v>
      </c>
      <c r="P104" s="5">
        <v>17698.150000000001</v>
      </c>
      <c r="Q104" s="5" t="s">
        <v>1</v>
      </c>
    </row>
    <row r="105" spans="2:17" x14ac:dyDescent="0.25">
      <c r="B105" s="5">
        <v>18750</v>
      </c>
      <c r="C105" s="5" t="s">
        <v>237</v>
      </c>
      <c r="D105" s="5">
        <v>3428</v>
      </c>
      <c r="E105" s="5">
        <v>52</v>
      </c>
      <c r="F105" s="5">
        <v>6302</v>
      </c>
      <c r="G105" s="5">
        <v>18.02</v>
      </c>
      <c r="H105" s="5">
        <v>1.05</v>
      </c>
      <c r="I105" s="5">
        <v>0</v>
      </c>
      <c r="J105" s="5">
        <v>7</v>
      </c>
      <c r="K105" s="5">
        <v>0</v>
      </c>
      <c r="L105" s="5">
        <v>4</v>
      </c>
      <c r="M105" s="5">
        <v>33.4</v>
      </c>
      <c r="N105" s="5">
        <v>1055.8</v>
      </c>
      <c r="O105" s="5">
        <v>-56.650000000000091</v>
      </c>
      <c r="P105" s="5">
        <v>17698.150000000001</v>
      </c>
      <c r="Q105" s="5" t="s">
        <v>1</v>
      </c>
    </row>
    <row r="106" spans="2:17" x14ac:dyDescent="0.25">
      <c r="B106" s="5">
        <v>18800</v>
      </c>
      <c r="C106" s="5" t="s">
        <v>237</v>
      </c>
      <c r="D106" s="5">
        <v>9159</v>
      </c>
      <c r="E106" s="5">
        <v>4798</v>
      </c>
      <c r="F106" s="5">
        <v>29222</v>
      </c>
      <c r="G106" s="5">
        <v>18.18</v>
      </c>
      <c r="H106" s="5">
        <v>0.8</v>
      </c>
      <c r="I106" s="5">
        <v>-0.34999999999999987</v>
      </c>
      <c r="J106" s="5">
        <v>5</v>
      </c>
      <c r="K106" s="5">
        <v>0</v>
      </c>
      <c r="L106" s="5">
        <v>0</v>
      </c>
      <c r="M106" s="5">
        <v>0</v>
      </c>
      <c r="N106" s="5">
        <v>1118.3</v>
      </c>
      <c r="O106" s="5">
        <v>0</v>
      </c>
      <c r="P106" s="5">
        <v>17698.150000000001</v>
      </c>
      <c r="Q106" s="5" t="s">
        <v>1</v>
      </c>
    </row>
    <row r="107" spans="2:17" x14ac:dyDescent="0.25">
      <c r="B107" s="5">
        <v>18850</v>
      </c>
      <c r="C107" s="5" t="s">
        <v>237</v>
      </c>
      <c r="D107" s="5">
        <v>641</v>
      </c>
      <c r="E107" s="5">
        <v>-222</v>
      </c>
      <c r="F107" s="5">
        <v>3253</v>
      </c>
      <c r="G107" s="5">
        <v>18.91</v>
      </c>
      <c r="H107" s="5">
        <v>0.8</v>
      </c>
      <c r="I107" s="5">
        <v>-0.34999999999999987</v>
      </c>
      <c r="J107" s="5">
        <v>59</v>
      </c>
      <c r="K107" s="5">
        <v>0</v>
      </c>
      <c r="L107" s="5">
        <v>0</v>
      </c>
      <c r="M107" s="5">
        <v>0</v>
      </c>
      <c r="N107" s="5">
        <v>1175.1500000000001</v>
      </c>
      <c r="O107" s="5">
        <v>18.650000000000091</v>
      </c>
      <c r="P107" s="5">
        <v>17698.150000000001</v>
      </c>
      <c r="Q107" s="5" t="s">
        <v>1</v>
      </c>
    </row>
    <row r="108" spans="2:17" x14ac:dyDescent="0.25">
      <c r="B108" s="5">
        <v>18900</v>
      </c>
      <c r="C108" s="5" t="s">
        <v>237</v>
      </c>
      <c r="D108" s="5">
        <v>4137</v>
      </c>
      <c r="E108" s="5">
        <v>8</v>
      </c>
      <c r="F108" s="5">
        <v>12091</v>
      </c>
      <c r="G108" s="5">
        <v>19.190000000000001</v>
      </c>
      <c r="H108" s="5">
        <v>0.65</v>
      </c>
      <c r="I108" s="5">
        <v>-0.45000000000000007</v>
      </c>
      <c r="J108" s="5">
        <v>1</v>
      </c>
      <c r="K108" s="5">
        <v>1</v>
      </c>
      <c r="L108" s="5">
        <v>1</v>
      </c>
      <c r="M108" s="5">
        <v>41.51</v>
      </c>
      <c r="N108" s="5">
        <v>1224.95</v>
      </c>
      <c r="O108" s="5">
        <v>-1580.4</v>
      </c>
      <c r="P108" s="5">
        <v>17698.150000000001</v>
      </c>
      <c r="Q108" s="5" t="s">
        <v>1</v>
      </c>
    </row>
    <row r="109" spans="2:17" x14ac:dyDescent="0.25">
      <c r="B109" s="5">
        <v>18950</v>
      </c>
      <c r="C109" s="5" t="s">
        <v>237</v>
      </c>
      <c r="D109" s="5">
        <v>359</v>
      </c>
      <c r="E109" s="5">
        <v>-73</v>
      </c>
      <c r="F109" s="5">
        <v>5397</v>
      </c>
      <c r="G109" s="5">
        <v>19.89</v>
      </c>
      <c r="H109" s="5">
        <v>0.65</v>
      </c>
      <c r="I109" s="5">
        <v>-0.54999999999999993</v>
      </c>
      <c r="J109" s="5">
        <v>0</v>
      </c>
      <c r="K109" s="5">
        <v>0</v>
      </c>
      <c r="L109" s="5">
        <v>0</v>
      </c>
      <c r="M109" s="5">
        <v>0</v>
      </c>
      <c r="N109" s="5">
        <v>0</v>
      </c>
      <c r="O109" s="5">
        <v>0</v>
      </c>
      <c r="P109" s="5">
        <v>17698.150000000001</v>
      </c>
      <c r="Q109" s="5" t="s">
        <v>1</v>
      </c>
    </row>
    <row r="110" spans="2:17" x14ac:dyDescent="0.25">
      <c r="B110" s="5">
        <v>19000</v>
      </c>
      <c r="C110" s="5" t="s">
        <v>237</v>
      </c>
      <c r="D110" s="5">
        <v>57365</v>
      </c>
      <c r="E110" s="5">
        <v>-3800</v>
      </c>
      <c r="F110" s="5">
        <v>154169</v>
      </c>
      <c r="G110" s="5">
        <v>20.59</v>
      </c>
      <c r="H110" s="5">
        <v>0.65</v>
      </c>
      <c r="I110" s="5">
        <v>-0.49999999999999989</v>
      </c>
      <c r="J110" s="5">
        <v>0</v>
      </c>
      <c r="K110" s="5">
        <v>0</v>
      </c>
      <c r="L110" s="5">
        <v>2</v>
      </c>
      <c r="M110" s="5">
        <v>34.14</v>
      </c>
      <c r="N110" s="5">
        <v>1290</v>
      </c>
      <c r="O110" s="5">
        <v>-1613</v>
      </c>
      <c r="P110" s="5">
        <v>17698.150000000001</v>
      </c>
      <c r="Q110" s="5" t="s">
        <v>1</v>
      </c>
    </row>
    <row r="111" spans="2:17" x14ac:dyDescent="0.25">
      <c r="B111" s="5">
        <v>19050</v>
      </c>
      <c r="C111" s="5" t="s">
        <v>237</v>
      </c>
      <c r="D111" s="5">
        <v>1241</v>
      </c>
      <c r="E111" s="5">
        <v>-27</v>
      </c>
      <c r="F111" s="5">
        <v>3035</v>
      </c>
      <c r="G111" s="5">
        <v>21.1</v>
      </c>
      <c r="H111" s="5">
        <v>0.6</v>
      </c>
      <c r="I111" s="5">
        <v>-0.50000000000000011</v>
      </c>
      <c r="J111" s="5">
        <v>1</v>
      </c>
      <c r="K111" s="5">
        <v>1</v>
      </c>
      <c r="L111" s="5">
        <v>1</v>
      </c>
      <c r="M111" s="5">
        <v>39.29</v>
      </c>
      <c r="N111" s="5">
        <v>1352.35</v>
      </c>
      <c r="O111" s="5">
        <v>-1461.25</v>
      </c>
      <c r="P111" s="5">
        <v>17698.150000000001</v>
      </c>
      <c r="Q111" s="5" t="s">
        <v>1</v>
      </c>
    </row>
    <row r="112" spans="2:17" x14ac:dyDescent="0.25">
      <c r="B112" s="5">
        <v>19100</v>
      </c>
      <c r="C112" s="5" t="s">
        <v>237</v>
      </c>
      <c r="D112" s="5">
        <v>1005</v>
      </c>
      <c r="E112" s="5">
        <v>1005</v>
      </c>
      <c r="F112" s="5">
        <v>5206</v>
      </c>
      <c r="G112" s="5">
        <v>22.14</v>
      </c>
      <c r="H112" s="5">
        <v>0.7</v>
      </c>
      <c r="I112" s="5">
        <v>-8.6000000000000014</v>
      </c>
      <c r="J112" s="5">
        <v>0</v>
      </c>
      <c r="K112" s="5">
        <v>0</v>
      </c>
      <c r="L112" s="5">
        <v>0</v>
      </c>
      <c r="M112" s="5">
        <v>0</v>
      </c>
      <c r="N112" s="5">
        <v>0</v>
      </c>
      <c r="O112" s="5">
        <v>0</v>
      </c>
      <c r="P112" s="5">
        <v>17698.150000000001</v>
      </c>
      <c r="Q112" s="5" t="s">
        <v>1</v>
      </c>
    </row>
    <row r="113" spans="2:17" x14ac:dyDescent="0.25">
      <c r="B113" s="5">
        <v>19150</v>
      </c>
      <c r="C113" s="5" t="s">
        <v>237</v>
      </c>
      <c r="D113" s="5">
        <v>1106</v>
      </c>
      <c r="E113" s="5">
        <v>1106</v>
      </c>
      <c r="F113" s="5">
        <v>5085</v>
      </c>
      <c r="G113" s="5">
        <v>22.47</v>
      </c>
      <c r="H113" s="5">
        <v>0.6</v>
      </c>
      <c r="I113" s="5">
        <v>-7.9</v>
      </c>
      <c r="J113" s="5">
        <v>0</v>
      </c>
      <c r="K113" s="5">
        <v>0</v>
      </c>
      <c r="L113" s="5">
        <v>0</v>
      </c>
      <c r="M113" s="5">
        <v>0</v>
      </c>
      <c r="N113" s="5">
        <v>0</v>
      </c>
      <c r="O113" s="5">
        <v>0</v>
      </c>
      <c r="P113" s="5">
        <v>17698.150000000001</v>
      </c>
      <c r="Q113" s="5" t="s">
        <v>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B1:D5"/>
  <sheetViews>
    <sheetView workbookViewId="0">
      <selection activeCell="C19" sqref="C19"/>
    </sheetView>
  </sheetViews>
  <sheetFormatPr defaultRowHeight="15" x14ac:dyDescent="0.25"/>
  <cols>
    <col min="2" max="2" width="26.5703125" bestFit="1" customWidth="1"/>
    <col min="3" max="3" width="24.5703125" customWidth="1"/>
    <col min="4" max="4" width="23.85546875" customWidth="1"/>
  </cols>
  <sheetData>
    <row r="1" spans="2:4" x14ac:dyDescent="0.25">
      <c r="C1" t="s">
        <v>35</v>
      </c>
      <c r="D1" t="s">
        <v>36</v>
      </c>
    </row>
    <row r="2" spans="2:4" x14ac:dyDescent="0.25">
      <c r="B2" t="s">
        <v>34</v>
      </c>
      <c r="C2" t="s">
        <v>37</v>
      </c>
      <c r="D2" t="s">
        <v>38</v>
      </c>
    </row>
    <row r="3" spans="2:4" x14ac:dyDescent="0.25">
      <c r="B3" t="s">
        <v>39</v>
      </c>
      <c r="C3" t="s">
        <v>38</v>
      </c>
      <c r="D3" t="s">
        <v>37</v>
      </c>
    </row>
    <row r="4" spans="2:4" x14ac:dyDescent="0.25">
      <c r="B4" t="s">
        <v>40</v>
      </c>
      <c r="C4" t="s">
        <v>41</v>
      </c>
      <c r="D4" t="s">
        <v>42</v>
      </c>
    </row>
    <row r="5" spans="2:4" x14ac:dyDescent="0.25">
      <c r="B5" t="s">
        <v>43</v>
      </c>
      <c r="C5" t="s">
        <v>42</v>
      </c>
      <c r="D5" t="s">
        <v>41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E2:G14"/>
  <sheetViews>
    <sheetView showGridLines="0" workbookViewId="0">
      <selection activeCell="F3" sqref="F3"/>
    </sheetView>
  </sheetViews>
  <sheetFormatPr defaultRowHeight="15" x14ac:dyDescent="0.25"/>
  <cols>
    <col min="6" max="6" width="23" customWidth="1"/>
  </cols>
  <sheetData>
    <row r="2" spans="5:7" x14ac:dyDescent="0.25">
      <c r="F2" s="2" t="s">
        <v>44</v>
      </c>
    </row>
    <row r="3" spans="5:7" x14ac:dyDescent="0.25">
      <c r="F3" s="3" t="s">
        <v>63</v>
      </c>
      <c r="G3" t="s">
        <v>46</v>
      </c>
    </row>
    <row r="5" spans="5:7" ht="15.75" thickBot="1" x14ac:dyDescent="0.3">
      <c r="E5" s="49"/>
      <c r="F5" s="49"/>
      <c r="G5" s="49"/>
    </row>
    <row r="6" spans="5:7" x14ac:dyDescent="0.25">
      <c r="E6" s="49"/>
      <c r="F6" s="50" t="s">
        <v>45</v>
      </c>
      <c r="G6" s="49"/>
    </row>
    <row r="7" spans="5:7" x14ac:dyDescent="0.25">
      <c r="E7" s="49"/>
      <c r="F7" s="51" t="s">
        <v>61</v>
      </c>
      <c r="G7" s="49" t="s">
        <v>46</v>
      </c>
    </row>
    <row r="8" spans="5:7" x14ac:dyDescent="0.25">
      <c r="E8" s="49"/>
      <c r="F8" s="51" t="s">
        <v>47</v>
      </c>
      <c r="G8" s="49" t="s">
        <v>46</v>
      </c>
    </row>
    <row r="9" spans="5:7" x14ac:dyDescent="0.25">
      <c r="E9" s="49"/>
      <c r="F9" s="51" t="s">
        <v>48</v>
      </c>
      <c r="G9" s="49" t="s">
        <v>46</v>
      </c>
    </row>
    <row r="10" spans="5:7" x14ac:dyDescent="0.25">
      <c r="E10" s="49"/>
      <c r="F10" s="51" t="s">
        <v>209</v>
      </c>
      <c r="G10" s="49" t="s">
        <v>46</v>
      </c>
    </row>
    <row r="11" spans="5:7" x14ac:dyDescent="0.25">
      <c r="E11" s="49"/>
      <c r="F11" s="51" t="s">
        <v>60</v>
      </c>
      <c r="G11" s="49" t="s">
        <v>46</v>
      </c>
    </row>
    <row r="12" spans="5:7" x14ac:dyDescent="0.25">
      <c r="E12" s="49"/>
      <c r="F12" s="51" t="s">
        <v>62</v>
      </c>
      <c r="G12" s="49" t="s">
        <v>46</v>
      </c>
    </row>
    <row r="13" spans="5:7" ht="15.75" thickBot="1" x14ac:dyDescent="0.3">
      <c r="E13" s="49"/>
      <c r="F13" s="52" t="s">
        <v>63</v>
      </c>
      <c r="G13" s="49" t="s">
        <v>46</v>
      </c>
    </row>
    <row r="14" spans="5:7" ht="15.75" thickBot="1" x14ac:dyDescent="0.3">
      <c r="E14" s="49"/>
      <c r="F14" s="52"/>
      <c r="G14" s="49"/>
    </row>
  </sheetData>
  <dataValidations count="1">
    <dataValidation type="list" allowBlank="1" showInputMessage="1" showErrorMessage="1" sqref="F3" xr:uid="{00000000-0002-0000-0900-000000000000}">
      <formula1>$F$7:$F$15</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B3:H142"/>
  <sheetViews>
    <sheetView workbookViewId="0">
      <selection activeCell="F9" sqref="F9"/>
    </sheetView>
  </sheetViews>
  <sheetFormatPr defaultRowHeight="15" x14ac:dyDescent="0.25"/>
  <cols>
    <col min="1" max="1" width="11" bestFit="1" customWidth="1"/>
    <col min="2" max="2" width="14.5703125" bestFit="1" customWidth="1"/>
    <col min="3" max="3" width="1.7109375" customWidth="1"/>
    <col min="4" max="4" width="12.140625" bestFit="1" customWidth="1"/>
    <col min="5" max="5" width="1.85546875" customWidth="1"/>
    <col min="6" max="6" width="10.5703125" customWidth="1"/>
    <col min="7" max="7" width="2.28515625" customWidth="1"/>
    <col min="8" max="8" width="14.5703125" customWidth="1"/>
  </cols>
  <sheetData>
    <row r="3" spans="2:8" x14ac:dyDescent="0.25">
      <c r="B3" t="s">
        <v>0</v>
      </c>
      <c r="D3" t="s">
        <v>203</v>
      </c>
      <c r="F3" s="28" t="s">
        <v>0</v>
      </c>
      <c r="H3" t="s">
        <v>203</v>
      </c>
    </row>
    <row r="4" spans="2:8" x14ac:dyDescent="0.25">
      <c r="B4" t="s">
        <v>1</v>
      </c>
      <c r="D4" t="s">
        <v>201</v>
      </c>
      <c r="F4" s="29" t="s">
        <v>1</v>
      </c>
      <c r="H4" t="str">
        <f>IF(OR(F4="NIFTY",F4="BANKNIFTY"),D4,D5)</f>
        <v>indices</v>
      </c>
    </row>
    <row r="5" spans="2:8" x14ac:dyDescent="0.25">
      <c r="B5" t="s">
        <v>52</v>
      </c>
      <c r="D5" t="s">
        <v>202</v>
      </c>
    </row>
    <row r="6" spans="2:8" x14ac:dyDescent="0.25">
      <c r="B6" t="s">
        <v>64</v>
      </c>
    </row>
    <row r="7" spans="2:8" x14ac:dyDescent="0.25">
      <c r="B7" t="s">
        <v>65</v>
      </c>
    </row>
    <row r="8" spans="2:8" x14ac:dyDescent="0.25">
      <c r="B8" t="s">
        <v>66</v>
      </c>
    </row>
    <row r="9" spans="2:8" x14ac:dyDescent="0.25">
      <c r="B9" t="s">
        <v>67</v>
      </c>
    </row>
    <row r="10" spans="2:8" x14ac:dyDescent="0.25">
      <c r="B10" t="s">
        <v>68</v>
      </c>
    </row>
    <row r="11" spans="2:8" x14ac:dyDescent="0.25">
      <c r="B11" t="s">
        <v>69</v>
      </c>
    </row>
    <row r="12" spans="2:8" x14ac:dyDescent="0.25">
      <c r="B12" t="s">
        <v>70</v>
      </c>
    </row>
    <row r="13" spans="2:8" x14ac:dyDescent="0.25">
      <c r="B13" t="s">
        <v>71</v>
      </c>
    </row>
    <row r="14" spans="2:8" x14ac:dyDescent="0.25">
      <c r="B14" t="s">
        <v>72</v>
      </c>
    </row>
    <row r="15" spans="2:8" x14ac:dyDescent="0.25">
      <c r="B15" t="s">
        <v>73</v>
      </c>
    </row>
    <row r="16" spans="2:8" x14ac:dyDescent="0.25">
      <c r="B16" t="s">
        <v>74</v>
      </c>
    </row>
    <row r="17" spans="2:2" x14ac:dyDescent="0.25">
      <c r="B17" t="s">
        <v>75</v>
      </c>
    </row>
    <row r="18" spans="2:2" x14ac:dyDescent="0.25">
      <c r="B18" t="s">
        <v>76</v>
      </c>
    </row>
    <row r="19" spans="2:2" x14ac:dyDescent="0.25">
      <c r="B19" t="s">
        <v>77</v>
      </c>
    </row>
    <row r="20" spans="2:2" x14ac:dyDescent="0.25">
      <c r="B20" t="s">
        <v>78</v>
      </c>
    </row>
    <row r="21" spans="2:2" x14ac:dyDescent="0.25">
      <c r="B21" t="s">
        <v>79</v>
      </c>
    </row>
    <row r="22" spans="2:2" x14ac:dyDescent="0.25">
      <c r="B22" t="s">
        <v>80</v>
      </c>
    </row>
    <row r="23" spans="2:2" x14ac:dyDescent="0.25">
      <c r="B23" t="s">
        <v>81</v>
      </c>
    </row>
    <row r="24" spans="2:2" x14ac:dyDescent="0.25">
      <c r="B24" t="s">
        <v>82</v>
      </c>
    </row>
    <row r="25" spans="2:2" x14ac:dyDescent="0.25">
      <c r="B25" t="s">
        <v>83</v>
      </c>
    </row>
    <row r="26" spans="2:2" x14ac:dyDescent="0.25">
      <c r="B26" t="s">
        <v>84</v>
      </c>
    </row>
    <row r="27" spans="2:2" x14ac:dyDescent="0.25">
      <c r="B27" t="s">
        <v>85</v>
      </c>
    </row>
    <row r="28" spans="2:2" x14ac:dyDescent="0.25">
      <c r="B28" t="s">
        <v>86</v>
      </c>
    </row>
    <row r="29" spans="2:2" x14ac:dyDescent="0.25">
      <c r="B29" t="s">
        <v>87</v>
      </c>
    </row>
    <row r="30" spans="2:2" x14ac:dyDescent="0.25">
      <c r="B30" t="s">
        <v>88</v>
      </c>
    </row>
    <row r="31" spans="2:2" x14ac:dyDescent="0.25">
      <c r="B31" t="s">
        <v>89</v>
      </c>
    </row>
    <row r="32" spans="2:2" x14ac:dyDescent="0.25">
      <c r="B32" t="s">
        <v>90</v>
      </c>
    </row>
    <row r="33" spans="2:2" x14ac:dyDescent="0.25">
      <c r="B33" t="s">
        <v>91</v>
      </c>
    </row>
    <row r="34" spans="2:2" x14ac:dyDescent="0.25">
      <c r="B34" t="s">
        <v>92</v>
      </c>
    </row>
    <row r="35" spans="2:2" x14ac:dyDescent="0.25">
      <c r="B35" t="s">
        <v>93</v>
      </c>
    </row>
    <row r="36" spans="2:2" x14ac:dyDescent="0.25">
      <c r="B36" t="s">
        <v>94</v>
      </c>
    </row>
    <row r="37" spans="2:2" x14ac:dyDescent="0.25">
      <c r="B37" t="s">
        <v>95</v>
      </c>
    </row>
    <row r="38" spans="2:2" x14ac:dyDescent="0.25">
      <c r="B38" t="s">
        <v>96</v>
      </c>
    </row>
    <row r="39" spans="2:2" x14ac:dyDescent="0.25">
      <c r="B39" t="s">
        <v>97</v>
      </c>
    </row>
    <row r="40" spans="2:2" x14ac:dyDescent="0.25">
      <c r="B40" t="s">
        <v>98</v>
      </c>
    </row>
    <row r="41" spans="2:2" x14ac:dyDescent="0.25">
      <c r="B41" t="s">
        <v>99</v>
      </c>
    </row>
    <row r="42" spans="2:2" x14ac:dyDescent="0.25">
      <c r="B42" t="s">
        <v>100</v>
      </c>
    </row>
    <row r="43" spans="2:2" x14ac:dyDescent="0.25">
      <c r="B43" t="s">
        <v>101</v>
      </c>
    </row>
    <row r="44" spans="2:2" x14ac:dyDescent="0.25">
      <c r="B44" t="s">
        <v>102</v>
      </c>
    </row>
    <row r="45" spans="2:2" x14ac:dyDescent="0.25">
      <c r="B45" t="s">
        <v>103</v>
      </c>
    </row>
    <row r="46" spans="2:2" x14ac:dyDescent="0.25">
      <c r="B46" t="s">
        <v>104</v>
      </c>
    </row>
    <row r="47" spans="2:2" x14ac:dyDescent="0.25">
      <c r="B47" t="s">
        <v>105</v>
      </c>
    </row>
    <row r="48" spans="2:2" x14ac:dyDescent="0.25">
      <c r="B48" t="s">
        <v>106</v>
      </c>
    </row>
    <row r="49" spans="2:2" x14ac:dyDescent="0.25">
      <c r="B49" t="s">
        <v>107</v>
      </c>
    </row>
    <row r="50" spans="2:2" x14ac:dyDescent="0.25">
      <c r="B50" t="s">
        <v>108</v>
      </c>
    </row>
    <row r="51" spans="2:2" x14ac:dyDescent="0.25">
      <c r="B51" t="s">
        <v>109</v>
      </c>
    </row>
    <row r="52" spans="2:2" x14ac:dyDescent="0.25">
      <c r="B52" t="s">
        <v>110</v>
      </c>
    </row>
    <row r="53" spans="2:2" x14ac:dyDescent="0.25">
      <c r="B53" t="s">
        <v>111</v>
      </c>
    </row>
    <row r="54" spans="2:2" x14ac:dyDescent="0.25">
      <c r="B54" t="s">
        <v>112</v>
      </c>
    </row>
    <row r="55" spans="2:2" x14ac:dyDescent="0.25">
      <c r="B55" t="s">
        <v>113</v>
      </c>
    </row>
    <row r="56" spans="2:2" x14ac:dyDescent="0.25">
      <c r="B56" t="s">
        <v>114</v>
      </c>
    </row>
    <row r="57" spans="2:2" x14ac:dyDescent="0.25">
      <c r="B57" t="s">
        <v>115</v>
      </c>
    </row>
    <row r="58" spans="2:2" x14ac:dyDescent="0.25">
      <c r="B58" t="s">
        <v>116</v>
      </c>
    </row>
    <row r="59" spans="2:2" x14ac:dyDescent="0.25">
      <c r="B59" t="s">
        <v>117</v>
      </c>
    </row>
    <row r="60" spans="2:2" x14ac:dyDescent="0.25">
      <c r="B60" t="s">
        <v>118</v>
      </c>
    </row>
    <row r="61" spans="2:2" x14ac:dyDescent="0.25">
      <c r="B61" t="s">
        <v>119</v>
      </c>
    </row>
    <row r="62" spans="2:2" x14ac:dyDescent="0.25">
      <c r="B62" t="s">
        <v>120</v>
      </c>
    </row>
    <row r="63" spans="2:2" x14ac:dyDescent="0.25">
      <c r="B63" t="s">
        <v>121</v>
      </c>
    </row>
    <row r="64" spans="2:2" x14ac:dyDescent="0.25">
      <c r="B64" t="s">
        <v>122</v>
      </c>
    </row>
    <row r="65" spans="2:2" x14ac:dyDescent="0.25">
      <c r="B65" t="s">
        <v>123</v>
      </c>
    </row>
    <row r="66" spans="2:2" x14ac:dyDescent="0.25">
      <c r="B66" t="s">
        <v>124</v>
      </c>
    </row>
    <row r="67" spans="2:2" x14ac:dyDescent="0.25">
      <c r="B67" t="s">
        <v>125</v>
      </c>
    </row>
    <row r="68" spans="2:2" x14ac:dyDescent="0.25">
      <c r="B68" t="s">
        <v>126</v>
      </c>
    </row>
    <row r="69" spans="2:2" x14ac:dyDescent="0.25">
      <c r="B69" t="s">
        <v>127</v>
      </c>
    </row>
    <row r="70" spans="2:2" x14ac:dyDescent="0.25">
      <c r="B70" t="s">
        <v>128</v>
      </c>
    </row>
    <row r="71" spans="2:2" x14ac:dyDescent="0.25">
      <c r="B71" t="s">
        <v>129</v>
      </c>
    </row>
    <row r="72" spans="2:2" x14ac:dyDescent="0.25">
      <c r="B72" t="s">
        <v>130</v>
      </c>
    </row>
    <row r="73" spans="2:2" x14ac:dyDescent="0.25">
      <c r="B73" t="s">
        <v>131</v>
      </c>
    </row>
    <row r="74" spans="2:2" x14ac:dyDescent="0.25">
      <c r="B74" t="s">
        <v>132</v>
      </c>
    </row>
    <row r="75" spans="2:2" x14ac:dyDescent="0.25">
      <c r="B75" t="s">
        <v>133</v>
      </c>
    </row>
    <row r="76" spans="2:2" x14ac:dyDescent="0.25">
      <c r="B76" t="s">
        <v>134</v>
      </c>
    </row>
    <row r="77" spans="2:2" x14ac:dyDescent="0.25">
      <c r="B77" t="s">
        <v>135</v>
      </c>
    </row>
    <row r="78" spans="2:2" x14ac:dyDescent="0.25">
      <c r="B78" t="s">
        <v>136</v>
      </c>
    </row>
    <row r="79" spans="2:2" x14ac:dyDescent="0.25">
      <c r="B79" t="s">
        <v>137</v>
      </c>
    </row>
    <row r="80" spans="2:2" x14ac:dyDescent="0.25">
      <c r="B80" t="s">
        <v>138</v>
      </c>
    </row>
    <row r="81" spans="2:2" x14ac:dyDescent="0.25">
      <c r="B81" t="s">
        <v>139</v>
      </c>
    </row>
    <row r="82" spans="2:2" x14ac:dyDescent="0.25">
      <c r="B82" t="s">
        <v>140</v>
      </c>
    </row>
    <row r="83" spans="2:2" x14ac:dyDescent="0.25">
      <c r="B83" t="s">
        <v>141</v>
      </c>
    </row>
    <row r="84" spans="2:2" x14ac:dyDescent="0.25">
      <c r="B84" t="s">
        <v>142</v>
      </c>
    </row>
    <row r="85" spans="2:2" x14ac:dyDescent="0.25">
      <c r="B85" t="s">
        <v>143</v>
      </c>
    </row>
    <row r="86" spans="2:2" x14ac:dyDescent="0.25">
      <c r="B86" t="s">
        <v>144</v>
      </c>
    </row>
    <row r="87" spans="2:2" x14ac:dyDescent="0.25">
      <c r="B87" t="s">
        <v>145</v>
      </c>
    </row>
    <row r="88" spans="2:2" x14ac:dyDescent="0.25">
      <c r="B88" t="s">
        <v>146</v>
      </c>
    </row>
    <row r="89" spans="2:2" x14ac:dyDescent="0.25">
      <c r="B89" t="s">
        <v>147</v>
      </c>
    </row>
    <row r="90" spans="2:2" x14ac:dyDescent="0.25">
      <c r="B90" t="s">
        <v>148</v>
      </c>
    </row>
    <row r="91" spans="2:2" x14ac:dyDescent="0.25">
      <c r="B91" t="s">
        <v>149</v>
      </c>
    </row>
    <row r="92" spans="2:2" x14ac:dyDescent="0.25">
      <c r="B92" t="s">
        <v>150</v>
      </c>
    </row>
    <row r="93" spans="2:2" x14ac:dyDescent="0.25">
      <c r="B93" t="s">
        <v>151</v>
      </c>
    </row>
    <row r="94" spans="2:2" x14ac:dyDescent="0.25">
      <c r="B94" t="s">
        <v>152</v>
      </c>
    </row>
    <row r="95" spans="2:2" x14ac:dyDescent="0.25">
      <c r="B95" t="s">
        <v>153</v>
      </c>
    </row>
    <row r="96" spans="2:2" x14ac:dyDescent="0.25">
      <c r="B96" t="s">
        <v>154</v>
      </c>
    </row>
    <row r="97" spans="2:2" x14ac:dyDescent="0.25">
      <c r="B97" t="s">
        <v>155</v>
      </c>
    </row>
    <row r="98" spans="2:2" x14ac:dyDescent="0.25">
      <c r="B98" t="s">
        <v>156</v>
      </c>
    </row>
    <row r="99" spans="2:2" x14ac:dyDescent="0.25">
      <c r="B99" t="s">
        <v>157</v>
      </c>
    </row>
    <row r="100" spans="2:2" x14ac:dyDescent="0.25">
      <c r="B100" t="s">
        <v>158</v>
      </c>
    </row>
    <row r="101" spans="2:2" x14ac:dyDescent="0.25">
      <c r="B101" t="s">
        <v>159</v>
      </c>
    </row>
    <row r="102" spans="2:2" x14ac:dyDescent="0.25">
      <c r="B102" t="s">
        <v>160</v>
      </c>
    </row>
    <row r="103" spans="2:2" x14ac:dyDescent="0.25">
      <c r="B103" t="s">
        <v>161</v>
      </c>
    </row>
    <row r="104" spans="2:2" x14ac:dyDescent="0.25">
      <c r="B104" t="s">
        <v>162</v>
      </c>
    </row>
    <row r="105" spans="2:2" x14ac:dyDescent="0.25">
      <c r="B105" t="s">
        <v>163</v>
      </c>
    </row>
    <row r="106" spans="2:2" x14ac:dyDescent="0.25">
      <c r="B106" t="s">
        <v>164</v>
      </c>
    </row>
    <row r="107" spans="2:2" x14ac:dyDescent="0.25">
      <c r="B107" t="s">
        <v>165</v>
      </c>
    </row>
    <row r="108" spans="2:2" x14ac:dyDescent="0.25">
      <c r="B108" t="s">
        <v>166</v>
      </c>
    </row>
    <row r="109" spans="2:2" x14ac:dyDescent="0.25">
      <c r="B109" t="s">
        <v>167</v>
      </c>
    </row>
    <row r="110" spans="2:2" x14ac:dyDescent="0.25">
      <c r="B110" t="s">
        <v>168</v>
      </c>
    </row>
    <row r="111" spans="2:2" x14ac:dyDescent="0.25">
      <c r="B111" t="s">
        <v>169</v>
      </c>
    </row>
    <row r="112" spans="2:2" x14ac:dyDescent="0.25">
      <c r="B112" t="s">
        <v>170</v>
      </c>
    </row>
    <row r="113" spans="2:2" x14ac:dyDescent="0.25">
      <c r="B113" t="s">
        <v>171</v>
      </c>
    </row>
    <row r="114" spans="2:2" x14ac:dyDescent="0.25">
      <c r="B114" t="s">
        <v>172</v>
      </c>
    </row>
    <row r="115" spans="2:2" x14ac:dyDescent="0.25">
      <c r="B115" t="s">
        <v>173</v>
      </c>
    </row>
    <row r="116" spans="2:2" x14ac:dyDescent="0.25">
      <c r="B116" t="s">
        <v>174</v>
      </c>
    </row>
    <row r="117" spans="2:2" x14ac:dyDescent="0.25">
      <c r="B117" t="s">
        <v>175</v>
      </c>
    </row>
    <row r="118" spans="2:2" x14ac:dyDescent="0.25">
      <c r="B118" t="s">
        <v>176</v>
      </c>
    </row>
    <row r="119" spans="2:2" x14ac:dyDescent="0.25">
      <c r="B119" t="s">
        <v>177</v>
      </c>
    </row>
    <row r="120" spans="2:2" x14ac:dyDescent="0.25">
      <c r="B120" t="s">
        <v>178</v>
      </c>
    </row>
    <row r="121" spans="2:2" x14ac:dyDescent="0.25">
      <c r="B121" t="s">
        <v>179</v>
      </c>
    </row>
    <row r="122" spans="2:2" x14ac:dyDescent="0.25">
      <c r="B122" t="s">
        <v>180</v>
      </c>
    </row>
    <row r="123" spans="2:2" x14ac:dyDescent="0.25">
      <c r="B123" t="s">
        <v>181</v>
      </c>
    </row>
    <row r="124" spans="2:2" x14ac:dyDescent="0.25">
      <c r="B124" t="s">
        <v>182</v>
      </c>
    </row>
    <row r="125" spans="2:2" x14ac:dyDescent="0.25">
      <c r="B125" t="s">
        <v>183</v>
      </c>
    </row>
    <row r="126" spans="2:2" x14ac:dyDescent="0.25">
      <c r="B126" t="s">
        <v>184</v>
      </c>
    </row>
    <row r="127" spans="2:2" x14ac:dyDescent="0.25">
      <c r="B127" t="s">
        <v>185</v>
      </c>
    </row>
    <row r="128" spans="2:2" x14ac:dyDescent="0.25">
      <c r="B128" t="s">
        <v>186</v>
      </c>
    </row>
    <row r="129" spans="2:2" x14ac:dyDescent="0.25">
      <c r="B129" t="s">
        <v>187</v>
      </c>
    </row>
    <row r="130" spans="2:2" x14ac:dyDescent="0.25">
      <c r="B130" t="s">
        <v>188</v>
      </c>
    </row>
    <row r="131" spans="2:2" x14ac:dyDescent="0.25">
      <c r="B131" t="s">
        <v>189</v>
      </c>
    </row>
    <row r="132" spans="2:2" x14ac:dyDescent="0.25">
      <c r="B132" t="s">
        <v>190</v>
      </c>
    </row>
    <row r="133" spans="2:2" x14ac:dyDescent="0.25">
      <c r="B133" t="s">
        <v>191</v>
      </c>
    </row>
    <row r="134" spans="2:2" x14ac:dyDescent="0.25">
      <c r="B134" t="s">
        <v>192</v>
      </c>
    </row>
    <row r="135" spans="2:2" x14ac:dyDescent="0.25">
      <c r="B135" t="s">
        <v>193</v>
      </c>
    </row>
    <row r="136" spans="2:2" x14ac:dyDescent="0.25">
      <c r="B136" t="s">
        <v>194</v>
      </c>
    </row>
    <row r="137" spans="2:2" x14ac:dyDescent="0.25">
      <c r="B137" t="s">
        <v>195</v>
      </c>
    </row>
    <row r="138" spans="2:2" x14ac:dyDescent="0.25">
      <c r="B138" t="s">
        <v>196</v>
      </c>
    </row>
    <row r="139" spans="2:2" x14ac:dyDescent="0.25">
      <c r="B139" t="s">
        <v>197</v>
      </c>
    </row>
    <row r="140" spans="2:2" x14ac:dyDescent="0.25">
      <c r="B140" t="s">
        <v>198</v>
      </c>
    </row>
    <row r="141" spans="2:2" x14ac:dyDescent="0.25">
      <c r="B141" t="s">
        <v>199</v>
      </c>
    </row>
    <row r="142" spans="2:2" x14ac:dyDescent="0.25">
      <c r="B142" t="s">
        <v>200</v>
      </c>
    </row>
  </sheetData>
  <dataValidations count="1">
    <dataValidation type="list" allowBlank="1" showInputMessage="1" showErrorMessage="1" sqref="F4" xr:uid="{00000000-0002-0000-0A00-000000000000}">
      <formula1>$B$4:$B$142</formula1>
    </dataValidation>
  </dataValidations>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D7A9017-E425-4CC7-8736-BD18A2F5571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Controls</vt:lpstr>
      <vt:lpstr>Dashboard</vt:lpstr>
      <vt:lpstr>NIFTY OI Analysis</vt:lpstr>
      <vt:lpstr>BANK NIFTY OI Analysis</vt:lpstr>
      <vt:lpstr>NIFTY OI Trend</vt:lpstr>
      <vt:lpstr>BNF OI Trend</vt:lpstr>
      <vt:lpstr>DB2</vt:lpstr>
      <vt:lpstr>DB</vt:lpstr>
      <vt:lpstr>Interpretation</vt:lpstr>
      <vt:lpstr>cookies</vt:lpstr>
      <vt:lpstr>Symbol List</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Sachin Saurabh Saxena</dc:creator>
  <cp:lastModifiedBy>Sachin Saurabh Saxena</cp:lastModifiedBy>
  <dcterms:created xsi:type="dcterms:W3CDTF">2020-11-29T05:47:33Z</dcterms:created>
  <dcterms:modified xsi:type="dcterms:W3CDTF">2022-08-15T08:16:52Z</dcterms:modified>
</cp:coreProperties>
</file>